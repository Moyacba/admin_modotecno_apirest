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ULOS" sheetId="1" r:id="rId5"/>
    <sheet state="hidden" name="PINES" sheetId="2" r:id="rId6"/>
    <sheet state="hidden" name="BATERIAS" sheetId="3" r:id="rId7"/>
    <sheet state="hidden" name="TAPAS" sheetId="4" r:id="rId8"/>
    <sheet state="visible" name="SAMSUNG" sheetId="5" r:id="rId9"/>
    <sheet state="visible" name="IPHONE" sheetId="6" r:id="rId10"/>
    <sheet state="visible" name="MOTOROLA" sheetId="7" r:id="rId11"/>
    <sheet state="visible" name="XIAOMI" sheetId="8" r:id="rId12"/>
  </sheets>
  <definedNames>
    <definedName name="gsdfgs">MODULOS!$H:$H</definedName>
  </definedNames>
  <calcPr/>
</workbook>
</file>

<file path=xl/sharedStrings.xml><?xml version="1.0" encoding="utf-8"?>
<sst xmlns="http://schemas.openxmlformats.org/spreadsheetml/2006/main" count="2648" uniqueCount="1421">
  <si>
    <t>MODULOS</t>
  </si>
  <si>
    <t>Iphone XR - 221204</t>
  </si>
  <si>
    <t>ACTUALIZADO 06/08/2024</t>
  </si>
  <si>
    <t>EN ROJO NO HAY STOCK!!!</t>
  </si>
  <si>
    <t xml:space="preserve"> SAMSUNG </t>
  </si>
  <si>
    <t>PRECIO EFECTIVO</t>
  </si>
  <si>
    <t>PRECIO TARJETA</t>
  </si>
  <si>
    <t xml:space="preserve">📱A01 ORIGINAL </t>
  </si>
  <si>
    <t>📱A01 CORE ORIGINAL</t>
  </si>
  <si>
    <r>
      <rPr>
        <rFont val="Arial"/>
        <color theme="1"/>
        <sz val="12.0"/>
      </rPr>
      <t>📱A02 / A02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/ A02 CORE</t>
    </r>
  </si>
  <si>
    <r>
      <rPr>
        <rFont val="Arial"/>
        <color rgb="FF000000"/>
        <sz val="12.0"/>
      </rPr>
      <t>📱A03 / A03</t>
    </r>
    <r>
      <rPr>
        <rFont val="Arial"/>
        <b/>
        <color rgb="FF000000"/>
        <sz val="12.0"/>
      </rPr>
      <t>S</t>
    </r>
    <r>
      <rPr>
        <rFont val="Arial"/>
        <color rgb="FF000000"/>
        <sz val="12.0"/>
      </rPr>
      <t xml:space="preserve"> / A03 CORE </t>
    </r>
  </si>
  <si>
    <r>
      <rPr>
        <rFont val="Arial"/>
        <color rgb="FF000000"/>
        <sz val="12.0"/>
      </rPr>
      <t>📱A04 / A04</t>
    </r>
    <r>
      <rPr>
        <rFont val="Arial"/>
        <b/>
        <color rgb="FF000000"/>
        <sz val="12.0"/>
      </rPr>
      <t>E</t>
    </r>
    <r>
      <rPr>
        <rFont val="Arial"/>
        <color rgb="FF000000"/>
        <sz val="12.0"/>
      </rPr>
      <t xml:space="preserve"> / A04</t>
    </r>
    <r>
      <rPr>
        <rFont val="Arial"/>
        <b/>
        <color rgb="FF000000"/>
        <sz val="12.0"/>
      </rPr>
      <t xml:space="preserve">S </t>
    </r>
  </si>
  <si>
    <t>📱A05</t>
  </si>
  <si>
    <t>📱A5 2015</t>
  </si>
  <si>
    <t>📱A5 2016 OLED</t>
  </si>
  <si>
    <t>📱A5 2017 OLED</t>
  </si>
  <si>
    <t>📱A6 OLED</t>
  </si>
  <si>
    <t>📱A6 PLUS OLED</t>
  </si>
  <si>
    <t>📱A7 2015 ORIGINAL</t>
  </si>
  <si>
    <t>-</t>
  </si>
  <si>
    <t>📱A7 2016 ORIGINAL</t>
  </si>
  <si>
    <t>📱A7 2017 OLED</t>
  </si>
  <si>
    <t>📱A7 2018 OLED</t>
  </si>
  <si>
    <t>📱A8 2018 OLED</t>
  </si>
  <si>
    <t>📱A8 PLUS</t>
  </si>
  <si>
    <r>
      <rPr>
        <rFont val="Arial"/>
        <color rgb="FF000000"/>
        <sz val="12.0"/>
      </rPr>
      <t>📱A10 / A10</t>
    </r>
    <r>
      <rPr>
        <rFont val="Arial"/>
        <b/>
        <color rgb="FF000000"/>
        <sz val="12.0"/>
      </rPr>
      <t>S</t>
    </r>
  </si>
  <si>
    <r>
      <rPr>
        <rFont val="Arial"/>
        <color rgb="FF000000"/>
        <sz val="12.0"/>
      </rPr>
      <t>📱</t>
    </r>
    <r>
      <rPr>
        <rFont val="Arial"/>
        <b/>
        <color rgb="FF000000"/>
        <sz val="12.0"/>
      </rPr>
      <t>M</t>
    </r>
    <r>
      <rPr>
        <rFont val="Arial"/>
        <color rgb="FF000000"/>
        <sz val="12.0"/>
      </rPr>
      <t>10 ORIGINAL</t>
    </r>
  </si>
  <si>
    <t xml:space="preserve">📱A11 ORIGINAL </t>
  </si>
  <si>
    <r>
      <rPr>
        <rFont val="Arial"/>
        <color theme="1"/>
        <sz val="12.0"/>
      </rPr>
      <t xml:space="preserve">📱A12 ORIGINAL </t>
    </r>
    <r>
      <rPr>
        <rFont val="Arial"/>
        <b/>
        <color theme="1"/>
        <sz val="12.0"/>
      </rPr>
      <t>125F / 127F</t>
    </r>
  </si>
  <si>
    <r>
      <rPr>
        <rFont val="Arial"/>
        <color rgb="FF000000"/>
        <sz val="12.0"/>
      </rPr>
      <t>📱</t>
    </r>
    <r>
      <rPr>
        <rFont val="Arial"/>
        <b/>
        <color rgb="FF000000"/>
        <sz val="12.0"/>
      </rPr>
      <t>M</t>
    </r>
    <r>
      <rPr>
        <rFont val="Arial"/>
        <color rgb="FF000000"/>
        <sz val="12.0"/>
      </rPr>
      <t>12 ORIGINAL</t>
    </r>
  </si>
  <si>
    <r>
      <rPr>
        <rFont val="Arial"/>
        <color rgb="FF000000"/>
        <sz val="12.0"/>
      </rPr>
      <t xml:space="preserve">📱A13 ORIGINAL </t>
    </r>
    <r>
      <rPr>
        <rFont val="Arial"/>
        <b/>
        <color rgb="FF000000"/>
        <sz val="12.0"/>
      </rPr>
      <t>4G/5G</t>
    </r>
  </si>
  <si>
    <t>52800+48000</t>
  </si>
  <si>
    <r>
      <rPr>
        <rFont val="Arial"/>
        <color rgb="FF000000"/>
        <sz val="12.0"/>
      </rPr>
      <t xml:space="preserve">📱A14 </t>
    </r>
    <r>
      <rPr>
        <rFont val="Arial"/>
        <b/>
        <color rgb="FF000000"/>
        <sz val="12.0"/>
      </rPr>
      <t>4G/5G</t>
    </r>
  </si>
  <si>
    <r>
      <rPr>
        <rFont val="Arial"/>
        <color rgb="FF000000"/>
        <sz val="12.0"/>
      </rPr>
      <t>📱</t>
    </r>
    <r>
      <rPr>
        <rFont val="Arial"/>
        <b/>
        <color rgb="FF000000"/>
        <sz val="12.0"/>
      </rPr>
      <t>M</t>
    </r>
    <r>
      <rPr>
        <rFont val="Arial"/>
        <color rgb="FF000000"/>
        <sz val="12.0"/>
      </rPr>
      <t xml:space="preserve">20 </t>
    </r>
  </si>
  <si>
    <t>📱A20</t>
  </si>
  <si>
    <r>
      <rPr>
        <rFont val="Arial"/>
        <color rgb="FF000000"/>
        <sz val="12.0"/>
      </rPr>
      <t>📱A20</t>
    </r>
    <r>
      <rPr>
        <rFont val="Arial"/>
        <b/>
        <color rgb="FF000000"/>
        <sz val="12.0"/>
      </rPr>
      <t>S</t>
    </r>
    <r>
      <rPr>
        <rFont val="Arial"/>
        <color rgb="FF000000"/>
        <sz val="12.0"/>
      </rPr>
      <t xml:space="preserve"> </t>
    </r>
  </si>
  <si>
    <t>55 48</t>
  </si>
  <si>
    <t xml:space="preserve">📱A21 ORIGINAL </t>
  </si>
  <si>
    <r>
      <rPr>
        <rFont val="Arial"/>
        <b/>
        <color rgb="FF000000"/>
        <sz val="12.0"/>
      </rPr>
      <t>📱M</t>
    </r>
    <r>
      <rPr>
        <rFont val="Arial"/>
        <b val="0"/>
        <color rgb="FF000000"/>
        <sz val="12.0"/>
      </rPr>
      <t xml:space="preserve">21 ORIGINAL </t>
    </r>
  </si>
  <si>
    <r>
      <rPr>
        <rFont val="Arial"/>
        <color theme="1"/>
        <sz val="12.0"/>
      </rPr>
      <t>📱A21</t>
    </r>
    <r>
      <rPr>
        <rFont val="Arial"/>
        <b/>
        <color theme="1"/>
        <sz val="12.0"/>
      </rPr>
      <t xml:space="preserve">S </t>
    </r>
  </si>
  <si>
    <r>
      <rPr>
        <rFont val="Arial"/>
        <color rgb="FF000000"/>
        <sz val="12.0"/>
      </rPr>
      <t xml:space="preserve">📱A22 ORIGINAL </t>
    </r>
    <r>
      <rPr>
        <rFont val="Arial"/>
        <b/>
        <color rgb="FF000000"/>
        <sz val="12.0"/>
      </rPr>
      <t>(4G) DE SAMSUNG</t>
    </r>
  </si>
  <si>
    <t>📱A22 OLED C/M (4G) "ORIGINAL"</t>
  </si>
  <si>
    <r>
      <rPr>
        <rFont val="Arial"/>
        <color theme="1"/>
        <sz val="12.0"/>
      </rPr>
      <t xml:space="preserve">📱A22 ORIGINAL </t>
    </r>
    <r>
      <rPr>
        <rFont val="Arial"/>
        <b/>
        <color theme="1"/>
        <sz val="12.0"/>
      </rPr>
      <t>(5G) DE SAMSUNG</t>
    </r>
  </si>
  <si>
    <t>📱A22 OLED C/M (5G) "ORIGINAL"</t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</si>
  <si>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 xml:space="preserve">A23 ORIGINAL </t>
    </r>
    <r>
      <rPr>
        <rFont val="Arial"/>
        <b/>
        <color rgb="FF000000"/>
        <sz val="12.0"/>
      </rPr>
      <t>DE SAMSUNG (SMA235)</t>
    </r>
  </si>
  <si>
    <t>📱A23 4g/5g OLED "ORIGINAL"</t>
  </si>
  <si>
    <t>📱M23 ORIGINAL</t>
  </si>
  <si>
    <t>📱A24 ORIGINAL DE SAMSUNG (SM-A245)</t>
  </si>
  <si>
    <t>📱A24 OLED</t>
  </si>
  <si>
    <t xml:space="preserve">📱A30 </t>
  </si>
  <si>
    <r>
      <rPr>
        <rFont val="Arial"/>
        <color theme="1"/>
        <sz val="12.0"/>
      </rPr>
      <t>📱A30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</si>
  <si>
    <r>
      <rPr>
        <rFont val="Arial"/>
        <color rgb="FF000000"/>
        <sz val="12.0"/>
      </rPr>
      <t>📱</t>
    </r>
    <r>
      <rPr>
        <rFont val="Arial"/>
        <b/>
        <color rgb="FF000000"/>
        <sz val="12.0"/>
      </rPr>
      <t>M</t>
    </r>
    <r>
      <rPr>
        <rFont val="Arial"/>
        <color rgb="FF000000"/>
        <sz val="12.0"/>
      </rPr>
      <t>30 / M30</t>
    </r>
    <r>
      <rPr>
        <rFont val="Arial"/>
        <b/>
        <color rgb="FF000000"/>
        <sz val="12.0"/>
      </rPr>
      <t>S</t>
    </r>
  </si>
  <si>
    <t>📱A31 OLED</t>
  </si>
  <si>
    <r>
      <rPr>
        <rFont val="Arial"/>
        <b/>
        <color rgb="FF000000"/>
        <sz val="12.0"/>
      </rPr>
      <t>📱M</t>
    </r>
    <r>
      <rPr>
        <rFont val="Arial"/>
        <b val="0"/>
        <color rgb="FF000000"/>
        <sz val="12.0"/>
      </rPr>
      <t>31 OLED</t>
    </r>
  </si>
  <si>
    <t xml:space="preserve">📱A32 4G ORIGINAL </t>
  </si>
  <si>
    <r>
      <rPr>
        <rFont val="Arial"/>
        <color rgb="FF000000"/>
        <sz val="12.0"/>
      </rPr>
      <t xml:space="preserve">📱A32 OLED  </t>
    </r>
    <r>
      <rPr>
        <rFont val="Arial"/>
        <b/>
        <color rgb="FF000000"/>
        <sz val="12.0"/>
      </rPr>
      <t xml:space="preserve">C/M (4G) </t>
    </r>
  </si>
  <si>
    <t xml:space="preserve">📱A32 5G ORIGINAL </t>
  </si>
  <si>
    <r>
      <rPr>
        <rFont val="Arial"/>
        <color rgb="FF000000"/>
        <sz val="12.0"/>
      </rPr>
      <t xml:space="preserve">📱A32 OLED  </t>
    </r>
    <r>
      <rPr>
        <rFont val="Arial"/>
        <b/>
        <color rgb="FF000000"/>
        <sz val="12.0"/>
      </rPr>
      <t xml:space="preserve">C/M (5G) </t>
    </r>
  </si>
  <si>
    <r>
      <rPr>
        <rFont val="Arial"/>
        <color rgb="FF000000"/>
        <sz val="12.0"/>
      </rPr>
      <t xml:space="preserve">📱A33 ORIGINAL </t>
    </r>
    <r>
      <rPr>
        <rFont val="Arial"/>
        <b/>
        <color rgb="FF000000"/>
        <sz val="12.0"/>
      </rPr>
      <t>DE SAMSUNG</t>
    </r>
  </si>
  <si>
    <t xml:space="preserve">📱A33 </t>
  </si>
  <si>
    <t xml:space="preserve">📱A34 ORIGINAL DE SAMSUNG </t>
  </si>
  <si>
    <t xml:space="preserve">📱A34 </t>
  </si>
  <si>
    <r>
      <rPr>
        <rFont val="Arial"/>
        <color rgb="FF000000"/>
        <sz val="12.0"/>
      </rPr>
      <t>📱A40</t>
    </r>
    <r>
      <rPr>
        <rFont val="Arial"/>
        <b/>
        <color rgb="FF000000"/>
        <sz val="12.0"/>
      </rPr>
      <t xml:space="preserve"> </t>
    </r>
  </si>
  <si>
    <t xml:space="preserve">📱A50 </t>
  </si>
  <si>
    <r>
      <rPr>
        <rFont val="Arial"/>
        <color theme="1"/>
        <sz val="12.0"/>
      </rPr>
      <t>📱A50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</si>
  <si>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 xml:space="preserve">📱A51 ORIGINAL </t>
    </r>
    <r>
      <rPr>
        <rFont val="Arial"/>
        <b/>
        <color theme="1"/>
        <sz val="12.0"/>
      </rPr>
      <t>DE SAMSUNG</t>
    </r>
  </si>
  <si>
    <t xml:space="preserve">📱A51 </t>
  </si>
  <si>
    <r>
      <rPr>
        <rFont val="Arial"/>
        <color rgb="FF000000"/>
        <sz val="12.0"/>
      </rPr>
      <t xml:space="preserve">📱A52 ORIGINAL </t>
    </r>
    <r>
      <rPr>
        <rFont val="Arial"/>
        <b/>
        <color rgb="FF000000"/>
        <sz val="12.0"/>
      </rPr>
      <t>DE SAMSUNG (a525m)</t>
    </r>
  </si>
  <si>
    <t xml:space="preserve">📱A52 </t>
  </si>
  <si>
    <r>
      <rPr>
        <rFont val="Arial"/>
        <color rgb="FF000000"/>
        <sz val="12.0"/>
      </rPr>
      <t>📱A52</t>
    </r>
    <r>
      <rPr>
        <rFont val="Arial"/>
        <b/>
        <color rgb="FF000000"/>
        <sz val="12.0"/>
      </rPr>
      <t>S</t>
    </r>
  </si>
  <si>
    <r>
      <rPr>
        <rFont val="Arial"/>
        <color rgb="FF000000"/>
        <sz val="12.0"/>
      </rPr>
      <t xml:space="preserve">📱A53 5G ORIGINAL </t>
    </r>
    <r>
      <rPr>
        <rFont val="Arial"/>
        <b/>
        <color rgb="FF000000"/>
        <sz val="12.0"/>
      </rPr>
      <t>DE SAMSUNG</t>
    </r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</si>
  <si>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 xml:space="preserve">A53 </t>
    </r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</si>
  <si>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>A54 ORIGINAL DE SAMSUNG</t>
    </r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</si>
  <si>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>A54</t>
    </r>
  </si>
  <si>
    <r>
      <rPr>
        <rFont val="Arial"/>
        <color rgb="FF000000"/>
        <sz val="12.0"/>
      </rPr>
      <t xml:space="preserve">📱A70 ORIGINAL </t>
    </r>
    <r>
      <rPr>
        <rFont val="Arial"/>
        <b/>
        <color rgb="FF000000"/>
        <sz val="12.0"/>
      </rPr>
      <t>DE SAMSUNG</t>
    </r>
  </si>
  <si>
    <t xml:space="preserve">📱A70 OLED </t>
  </si>
  <si>
    <r>
      <rPr>
        <rFont val="Arial"/>
        <color theme="1"/>
        <sz val="12.0"/>
      </rPr>
      <t xml:space="preserve">📱A71 ORIGINAL </t>
    </r>
    <r>
      <rPr>
        <rFont val="Arial"/>
        <b/>
        <color theme="1"/>
        <sz val="12.0"/>
      </rPr>
      <t>DE SAMSUNG</t>
    </r>
  </si>
  <si>
    <t xml:space="preserve">📱A71 OLED </t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</si>
  <si>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 xml:space="preserve">A72 </t>
    </r>
    <r>
      <rPr>
        <rFont val="Arial"/>
        <b/>
        <color rgb="FF000000"/>
        <sz val="12.0"/>
      </rPr>
      <t>ORIGINAL DE SAMSUNG</t>
    </r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</si>
  <si>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>A72 OLED C/M</t>
    </r>
  </si>
  <si>
    <r>
      <rPr>
        <rFont val="Arial"/>
        <b/>
        <color rgb="FF000000"/>
        <sz val="12.0"/>
      </rPr>
      <t>📱</t>
    </r>
    <r>
      <rPr>
        <rFont val="Arial"/>
        <b val="0"/>
        <color rgb="FF000000"/>
        <sz val="12.0"/>
      </rPr>
      <t>A73 OLED</t>
    </r>
  </si>
  <si>
    <r>
      <rPr>
        <rFont val="Arial"/>
        <color rgb="FF000000"/>
        <sz val="12.0"/>
      </rPr>
      <t xml:space="preserve">📱A80 ORIGINAL </t>
    </r>
    <r>
      <rPr>
        <rFont val="Arial"/>
        <b/>
        <color rgb="FF000000"/>
        <sz val="12.0"/>
      </rPr>
      <t>DE SAMSUNG</t>
    </r>
  </si>
  <si>
    <t xml:space="preserve">📱A80 OLED </t>
  </si>
  <si>
    <r>
      <rPr>
        <rFont val="Arial"/>
        <color theme="1"/>
        <sz val="12.0"/>
      </rPr>
      <t xml:space="preserve">📱A90 ORI </t>
    </r>
    <r>
      <rPr>
        <rFont val="Arial"/>
        <b/>
        <color theme="1"/>
        <sz val="12.0"/>
      </rPr>
      <t xml:space="preserve">S/M </t>
    </r>
  </si>
  <si>
    <t xml:space="preserve">📱J1 ACE </t>
  </si>
  <si>
    <t>📱J2</t>
  </si>
  <si>
    <t xml:space="preserve">📱J2 CORE </t>
  </si>
  <si>
    <t xml:space="preserve">📱J2 PRIME MODULO </t>
  </si>
  <si>
    <r>
      <rPr>
        <rFont val="Arial"/>
        <color theme="1"/>
        <sz val="12.0"/>
      </rPr>
      <t xml:space="preserve">📱J2 PRIME SOLO </t>
    </r>
    <r>
      <rPr>
        <rFont val="Arial"/>
        <b/>
        <color theme="1"/>
        <sz val="12.0"/>
      </rPr>
      <t>VIDRIO</t>
    </r>
  </si>
  <si>
    <t>📱J2 PRO</t>
  </si>
  <si>
    <t xml:space="preserve">📱J3 2016 </t>
  </si>
  <si>
    <t>📱J4 / J4 2018</t>
  </si>
  <si>
    <t xml:space="preserve">📱J4 PLUS </t>
  </si>
  <si>
    <t>📱J4 CORE</t>
  </si>
  <si>
    <t xml:space="preserve">📱J5 2015 </t>
  </si>
  <si>
    <t xml:space="preserve">📱J5 2016 </t>
  </si>
  <si>
    <t xml:space="preserve">📱J5 PRO </t>
  </si>
  <si>
    <t>📱J5 PRIME</t>
  </si>
  <si>
    <t xml:space="preserve">📱J6 </t>
  </si>
  <si>
    <t xml:space="preserve">📱J6 PLUS </t>
  </si>
  <si>
    <t xml:space="preserve">📱J7 2015 </t>
  </si>
  <si>
    <t xml:space="preserve">📱J7 2016 </t>
  </si>
  <si>
    <t xml:space="preserve">📱J7 NEO </t>
  </si>
  <si>
    <t xml:space="preserve">📱J7 PRIME </t>
  </si>
  <si>
    <t xml:space="preserve">📱J7 PRO </t>
  </si>
  <si>
    <t xml:space="preserve">📱J8 </t>
  </si>
  <si>
    <t xml:space="preserve">📱S6 </t>
  </si>
  <si>
    <t xml:space="preserve">📱S6 EDGE </t>
  </si>
  <si>
    <t>📱S6 FLAT</t>
  </si>
  <si>
    <t>📱S7 ORIGINAL DE SAMSUNG</t>
  </si>
  <si>
    <t xml:space="preserve">📱S7 EDGE </t>
  </si>
  <si>
    <t>📱S8 ORIGINAL DE SAMSUNG</t>
  </si>
  <si>
    <t>📱S8 PLUS DE SAMSUNG</t>
  </si>
  <si>
    <t>📱S9 DE SAMSUNG</t>
  </si>
  <si>
    <t>📱S9 PLUS DE SAMSUNG</t>
  </si>
  <si>
    <t>📱S10 ORIGINAL DE SAMSUNG</t>
  </si>
  <si>
    <t>📱S10 PLUS ORIGINAL SAMSUNG</t>
  </si>
  <si>
    <t>📱S10 E ORIGINAL DE SAMSUNG</t>
  </si>
  <si>
    <t>📱S20 ORIGINAL SAMUNG</t>
  </si>
  <si>
    <t xml:space="preserve">📱S20 PLUS </t>
  </si>
  <si>
    <t>📱S20 FE ORIGINAL DE SAMSUNG</t>
  </si>
  <si>
    <t>📱S20 ULTRA ORIGINAL DE SAMSUNG</t>
  </si>
  <si>
    <t>📱S21 ORIGINAL DE SAMSUNG</t>
  </si>
  <si>
    <t>📱S21 FE ORIGINAL DE SAMSUNG</t>
  </si>
  <si>
    <t xml:space="preserve">📱S21 PLUS ORIGINAL DE SAMSUNG </t>
  </si>
  <si>
    <t>📱S21 ULTRA ORIGINAL DE SAMSUNG</t>
  </si>
  <si>
    <t>📱S22 ORIGINAL DE SAMSUNG</t>
  </si>
  <si>
    <t>📱S22 PLUS ORIGINAL DE SAMSUNG</t>
  </si>
  <si>
    <t>📱S22 ULTRA ORIGINAL DE SAMSUNG</t>
  </si>
  <si>
    <t>📱S23 ORIGINAL DE SAMSUNG</t>
  </si>
  <si>
    <t>📱S23 PLUS ORIGINAL DE SAMSUNG</t>
  </si>
  <si>
    <t>📱S23 ULTRA ORIGINAL DE SAMSUNG</t>
  </si>
  <si>
    <t>📱S23 FE ORIGINAL DE SAMSUNG</t>
  </si>
  <si>
    <t>📱Z FLIP ORIGINAL DE SAMSUNG</t>
  </si>
  <si>
    <t>📱Z FLIP 3 ORIGINAL DE SAMSUNG</t>
  </si>
  <si>
    <t>📱Z FLIP 4 ORIGINAL DE SAMSUNG</t>
  </si>
  <si>
    <t>📱Z FLIP 5 ORIGINAL DE SAMSUNG</t>
  </si>
  <si>
    <t>📱Z FOLD 3 ORIGINAL DE SAMSUNG</t>
  </si>
  <si>
    <t>📱Z FOLD 4 ORIGINAL DE SAMSUNG</t>
  </si>
  <si>
    <t>📱Z FOLD 5 ORIGINAL DE SAMSUNG</t>
  </si>
  <si>
    <t>📱NOTE 10 DE SAMSUNG</t>
  </si>
  <si>
    <t>📱NOTE 10 PLUS DE SAMSUNG</t>
  </si>
  <si>
    <t>📱NOTE 20 DE SAMSUNG</t>
  </si>
  <si>
    <t>📱NOTE 20 PLUS DE SAMSUNG</t>
  </si>
  <si>
    <t xml:space="preserve">IPHONE </t>
  </si>
  <si>
    <t>PRECIO CLIENTE</t>
  </si>
  <si>
    <t>🍎IPHONE 5 alternativo</t>
  </si>
  <si>
    <r>
      <rPr>
        <rFont val="Arial"/>
        <color rgb="FF000000"/>
        <sz val="12.0"/>
      </rPr>
      <t xml:space="preserve">🍏IPHONE 5 </t>
    </r>
    <r>
      <rPr>
        <rFont val="Arial"/>
        <color rgb="FF000000"/>
        <sz val="12.0"/>
      </rPr>
      <t>ORIGINAL</t>
    </r>
  </si>
  <si>
    <t>🍎IPHONE 5S/5SE Alternativo</t>
  </si>
  <si>
    <r>
      <rPr>
        <rFont val="Arial"/>
        <color rgb="FF000000"/>
        <sz val="12.0"/>
      </rPr>
      <t xml:space="preserve">🍏IPHONE 5S/5SE </t>
    </r>
    <r>
      <rPr>
        <rFont val="Arial"/>
        <color rgb="FF000000"/>
        <sz val="12.0"/>
      </rPr>
      <t>ORIGINAL</t>
    </r>
  </si>
  <si>
    <t>🍎IPHONE 6 alternativo</t>
  </si>
  <si>
    <r>
      <rPr>
        <rFont val="Arial"/>
        <color theme="1"/>
        <sz val="12.0"/>
      </rPr>
      <t xml:space="preserve">🍏IPHONE 6 </t>
    </r>
    <r>
      <rPr>
        <rFont val="Arial"/>
        <color theme="1"/>
        <sz val="12.0"/>
      </rPr>
      <t>ORIGINAL</t>
    </r>
  </si>
  <si>
    <t>🍎IPHONE 6S alternativo</t>
  </si>
  <si>
    <r>
      <rPr>
        <rFont val="Arial"/>
        <color rgb="FF000000"/>
        <sz val="12.0"/>
      </rPr>
      <t xml:space="preserve">🍏IPHONE 6S </t>
    </r>
    <r>
      <rPr>
        <rFont val="Arial"/>
        <color rgb="FF000000"/>
        <sz val="12.0"/>
      </rPr>
      <t>ORIGINAL</t>
    </r>
  </si>
  <si>
    <t>🍎IPHONE 6 PLUS alternativo</t>
  </si>
  <si>
    <r>
      <rPr>
        <rFont val="Arial"/>
        <color rgb="FF000000"/>
        <sz val="12.0"/>
      </rPr>
      <t xml:space="preserve">🍏IPHONE 6 PLUS </t>
    </r>
    <r>
      <rPr>
        <rFont val="Arial"/>
        <color rgb="FF000000"/>
        <sz val="12.0"/>
      </rPr>
      <t xml:space="preserve">ORIGINAL </t>
    </r>
  </si>
  <si>
    <t>🍎IPHONE 6S PLUS alternativo</t>
  </si>
  <si>
    <r>
      <rPr>
        <rFont val="Arial"/>
        <color rgb="FF000000"/>
        <sz val="12.0"/>
      </rPr>
      <t xml:space="preserve">🍏IPHONE 6S PLUS </t>
    </r>
    <r>
      <rPr>
        <rFont val="Arial"/>
        <color rgb="FF000000"/>
        <sz val="12.0"/>
      </rPr>
      <t>ORIGINAL</t>
    </r>
  </si>
  <si>
    <t>🍎IPHONE 7 alternativo</t>
  </si>
  <si>
    <r>
      <rPr>
        <rFont val="Arial"/>
        <color rgb="FF000000"/>
        <sz val="12.0"/>
      </rPr>
      <t xml:space="preserve">🍏IPHONE 7 </t>
    </r>
    <r>
      <rPr>
        <rFont val="Arial"/>
        <color rgb="FF000000"/>
        <sz val="12.0"/>
      </rPr>
      <t>ORIGINAL</t>
    </r>
  </si>
  <si>
    <t>🍎IPHONE 7 PLUS alternativo</t>
  </si>
  <si>
    <r>
      <rPr>
        <rFont val="Arial"/>
        <color rgb="FF000000"/>
        <sz val="12.0"/>
      </rPr>
      <t xml:space="preserve">🍏IPHONE 7 PLUS </t>
    </r>
    <r>
      <rPr>
        <rFont val="Arial"/>
        <color rgb="FF000000"/>
        <sz val="12.0"/>
      </rPr>
      <t>ORIGINAL</t>
    </r>
  </si>
  <si>
    <t>🍎IPHONE 8 alternativo</t>
  </si>
  <si>
    <r>
      <rPr>
        <rFont val="Arial"/>
        <color rgb="FF000000"/>
        <sz val="12.0"/>
      </rPr>
      <t xml:space="preserve">🍏IPHONE 8 </t>
    </r>
    <r>
      <rPr>
        <rFont val="Arial"/>
        <color rgb="FF000000"/>
        <sz val="12.0"/>
      </rPr>
      <t>ORIGINAL</t>
    </r>
  </si>
  <si>
    <t>🍎IPHONE 8 PLUS alternativo</t>
  </si>
  <si>
    <r>
      <rPr>
        <rFont val="Arial"/>
        <color rgb="FF000000"/>
        <sz val="12.0"/>
      </rPr>
      <t xml:space="preserve">🍏IPHONE 8 PLUS </t>
    </r>
    <r>
      <rPr>
        <rFont val="Arial"/>
        <color rgb="FF000000"/>
        <sz val="12.0"/>
      </rPr>
      <t xml:space="preserve">ORIGINAL </t>
    </r>
  </si>
  <si>
    <r>
      <rPr>
        <rFont val="Arial"/>
        <color rgb="FF000000"/>
        <sz val="12.0"/>
      </rPr>
      <t xml:space="preserve">🍏IPHONE X </t>
    </r>
    <r>
      <rPr>
        <rFont val="Arial"/>
        <color rgb="FF000000"/>
        <sz val="12.0"/>
      </rPr>
      <t>ORIGINAL</t>
    </r>
  </si>
  <si>
    <t>🍎IPHONE X HARD OLED</t>
  </si>
  <si>
    <r>
      <rPr>
        <rFont val="Arial"/>
        <color rgb="FF000000"/>
        <sz val="12.0"/>
      </rPr>
      <t>🍎IPHONE</t>
    </r>
    <r>
      <rPr>
        <rFont val="Arial"/>
        <b/>
        <color rgb="FF000000"/>
        <sz val="12.0"/>
      </rPr>
      <t xml:space="preserve"> XS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</si>
  <si>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XS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</si>
  <si>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XS</t>
    </r>
    <r>
      <rPr>
        <rFont val="Arial"/>
        <color rgb="FF000000"/>
        <sz val="12.0"/>
      </rPr>
      <t xml:space="preserve"> OLED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</si>
  <si>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XR</t>
    </r>
    <r>
      <rPr>
        <rFont val="Arial"/>
        <color rgb="FF000000"/>
        <sz val="12.0"/>
      </rPr>
      <t xml:space="preserve"> ORIGINAL 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</si>
  <si>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XR</t>
    </r>
    <r>
      <rPr>
        <rFont val="Arial"/>
        <color rgb="FF000000"/>
        <sz val="12.0"/>
      </rPr>
      <t xml:space="preserve"> HC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</si>
  <si>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XS MAX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</si>
  <si>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XS MAX</t>
    </r>
    <r>
      <rPr>
        <rFont val="Arial"/>
        <color rgb="FF000000"/>
        <sz val="12.0"/>
      </rPr>
      <t xml:space="preserve"> HARD OLED 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</si>
  <si>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XS MAX</t>
    </r>
    <r>
      <rPr>
        <rFont val="Arial"/>
        <color rgb="FF000000"/>
        <sz val="12.0"/>
      </rPr>
      <t xml:space="preserve"> OLED 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</si>
  <si>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11</t>
    </r>
    <r>
      <rPr>
        <rFont val="Arial"/>
        <color rgb="FF000000"/>
        <sz val="12.0"/>
      </rPr>
      <t xml:space="preserve"> ORIGINAL 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</si>
  <si>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>11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</si>
  <si>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>11</t>
    </r>
    <r>
      <rPr>
        <rFont val="Arial"/>
        <color theme="1"/>
        <sz val="12.0"/>
      </rPr>
      <t xml:space="preserve"> INCEL</t>
    </r>
  </si>
  <si>
    <r>
      <rPr>
        <rFont val="Arial"/>
        <color theme="1"/>
        <sz val="12.0"/>
      </rPr>
      <t xml:space="preserve">🍏IPHONE </t>
    </r>
    <r>
      <rPr>
        <rFont val="Arial"/>
        <b/>
        <color theme="1"/>
        <sz val="12.0"/>
      </rPr>
      <t>11 PRO</t>
    </r>
    <r>
      <rPr>
        <rFont val="Arial"/>
        <color theme="1"/>
        <sz val="12.0"/>
      </rPr>
      <t xml:space="preserve"> ORIGINAL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</si>
  <si>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>11 PRO</t>
    </r>
    <r>
      <rPr>
        <rFont val="Arial"/>
        <color theme="1"/>
        <sz val="12.0"/>
      </rPr>
      <t xml:space="preserve"> HARD OLED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</si>
  <si>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>11 PRO</t>
    </r>
    <r>
      <rPr>
        <rFont val="Arial"/>
        <color theme="1"/>
        <sz val="12.0"/>
      </rPr>
      <t xml:space="preserve"> INCEL</t>
    </r>
  </si>
  <si>
    <r>
      <rPr>
        <rFont val="Arial"/>
        <color theme="1"/>
        <sz val="12.0"/>
      </rPr>
      <t xml:space="preserve">🍏IPHONE </t>
    </r>
    <r>
      <rPr>
        <rFont val="Arial"/>
        <b/>
        <color theme="1"/>
        <sz val="12.0"/>
      </rPr>
      <t xml:space="preserve">11 PRO MAX </t>
    </r>
    <r>
      <rPr>
        <rFont val="Arial"/>
        <color theme="1"/>
        <sz val="12.0"/>
      </rPr>
      <t>ORIGINAL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</si>
  <si>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 xml:space="preserve">11 PRO MAX </t>
    </r>
    <r>
      <rPr>
        <rFont val="Arial"/>
        <color theme="1"/>
        <sz val="12.0"/>
      </rPr>
      <t>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</si>
  <si>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11 PRO MAX</t>
    </r>
    <r>
      <rPr>
        <rFont val="Arial"/>
        <color rgb="FF000000"/>
        <sz val="12.0"/>
      </rPr>
      <t xml:space="preserve"> INCELL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</si>
  <si>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12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</si>
  <si>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12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</si>
  <si>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12</t>
    </r>
    <r>
      <rPr>
        <rFont val="Arial"/>
        <color rgb="FF000000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</si>
  <si>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12 MINI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</si>
  <si>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12 MINI</t>
    </r>
    <r>
      <rPr>
        <rFont val="Arial"/>
        <color rgb="FF000000"/>
        <sz val="12.0"/>
      </rPr>
      <t xml:space="preserve"> HC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</si>
  <si>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12 PRO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</si>
  <si>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12 PRO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</si>
  <si>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12 PRO</t>
    </r>
    <r>
      <rPr>
        <rFont val="Arial"/>
        <color rgb="FF000000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</si>
  <si>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12 PRO MAX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</si>
  <si>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 xml:space="preserve">12 PRO MAX </t>
    </r>
    <r>
      <rPr>
        <rFont val="Arial"/>
        <color rgb="FF000000"/>
        <sz val="12.0"/>
      </rPr>
      <t>HARD OLED</t>
    </r>
  </si>
  <si>
    <r>
      <rPr>
        <rFont val="Arial"/>
        <color theme="1"/>
        <sz val="12.0"/>
      </rPr>
      <t xml:space="preserve">🍎IPHONE </t>
    </r>
    <r>
      <rPr>
        <rFont val="Arial"/>
        <b/>
        <color theme="1"/>
        <sz val="12.0"/>
      </rPr>
      <t>12 PRO MAX</t>
    </r>
    <r>
      <rPr>
        <rFont val="Arial"/>
        <color theme="1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</si>
  <si>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13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</si>
  <si>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13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</si>
  <si>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13</t>
    </r>
    <r>
      <rPr>
        <rFont val="Arial"/>
        <color rgb="FF000000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</si>
  <si>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14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</si>
  <si>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</t>
    </r>
    <r>
      <rPr>
        <rFont val="Arial"/>
        <color rgb="FF000000"/>
        <sz val="12.0"/>
      </rPr>
      <t xml:space="preserve">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</si>
  <si>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</t>
    </r>
    <r>
      <rPr>
        <rFont val="Arial"/>
        <color rgb="FF000000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</si>
  <si>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>14 PLUS</t>
    </r>
    <r>
      <rPr>
        <rFont val="Arial"/>
        <color rgb="FF000000"/>
        <sz val="12.0"/>
      </rPr>
      <t xml:space="preserve"> 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</si>
  <si>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 PLUS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</si>
  <si>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 PLUS</t>
    </r>
    <r>
      <rPr>
        <rFont val="Arial"/>
        <color rgb="FF000000"/>
        <sz val="12.0"/>
      </rPr>
      <t xml:space="preserve"> INCEL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</si>
  <si>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14 PRO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</si>
  <si>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 PRO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</si>
  <si>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14 PRO MAX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</si>
  <si>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14 PRO MAX</t>
    </r>
    <r>
      <rPr>
        <rFont val="Arial"/>
        <color rgb="FF000000"/>
        <sz val="12.0"/>
      </rPr>
      <t xml:space="preserve"> HARD OLED</t>
    </r>
  </si>
  <si>
    <t>c</t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</si>
  <si>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15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</si>
  <si>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15</t>
    </r>
    <r>
      <rPr>
        <rFont val="Arial"/>
        <color rgb="FF000000"/>
        <sz val="12.0"/>
      </rPr>
      <t xml:space="preserve"> HARD OLED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</si>
  <si>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15 PRO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</si>
  <si>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 xml:space="preserve">15 PRO </t>
    </r>
    <r>
      <rPr>
        <rFont val="Arial"/>
        <color rgb="FF000000"/>
        <sz val="12.0"/>
      </rPr>
      <t>HARD OLED</t>
    </r>
  </si>
  <si>
    <r>
      <rPr>
        <rFont val="Arial"/>
        <color rgb="FF000000"/>
        <sz val="12.0"/>
      </rPr>
      <t xml:space="preserve">🍏IPHONE </t>
    </r>
    <r>
      <rPr>
        <rFont val="Arial"/>
        <b/>
        <color rgb="FF000000"/>
        <sz val="12.0"/>
      </rPr>
      <t xml:space="preserve">15 PRO MAX </t>
    </r>
    <r>
      <rPr>
        <rFont val="Arial"/>
        <color rgb="FF000000"/>
        <sz val="12.0"/>
      </rPr>
      <t>original</t>
    </r>
  </si>
  <si>
    <r>
      <rPr>
        <rFont val="Arial"/>
        <color rgb="FF000000"/>
        <sz val="12.0"/>
      </rPr>
      <t xml:space="preserve">🍎IPHONE </t>
    </r>
    <r>
      <rPr>
        <rFont val="Arial"/>
        <b/>
        <color rgb="FF000000"/>
        <sz val="12.0"/>
      </rPr>
      <t>15 PRO MAX</t>
    </r>
    <r>
      <rPr>
        <rFont val="Arial"/>
        <color rgb="FF000000"/>
        <sz val="12.0"/>
      </rPr>
      <t xml:space="preserve"> HARD OLED</t>
    </r>
  </si>
  <si>
    <t xml:space="preserve">MOTOROLA </t>
  </si>
  <si>
    <t xml:space="preserve">📱MOTO C </t>
  </si>
  <si>
    <t xml:space="preserve">📱MOTO C PLUS </t>
  </si>
  <si>
    <t xml:space="preserve">📱MOTO E </t>
  </si>
  <si>
    <t xml:space="preserve">📱MOTO E2 </t>
  </si>
  <si>
    <t>📱MOTO E3</t>
  </si>
  <si>
    <t>📱MOTO E4 V01</t>
  </si>
  <si>
    <t xml:space="preserve">📱MOTO E4 PLUS </t>
  </si>
  <si>
    <t xml:space="preserve">📱MOTO E5/G6 PLAY </t>
  </si>
  <si>
    <t xml:space="preserve">📱MOTO E5 PLUS </t>
  </si>
  <si>
    <t>📱MOTO E5 PLAY</t>
  </si>
  <si>
    <t xml:space="preserve">📱MOTO E5 PLAY GO </t>
  </si>
  <si>
    <t xml:space="preserve">📱MOTO E6 </t>
  </si>
  <si>
    <t xml:space="preserve">📱MOTO E6 PLUS </t>
  </si>
  <si>
    <r>
      <rPr>
        <rFont val="Arial"/>
        <color theme="1"/>
        <sz val="12.0"/>
      </rPr>
      <t>📱MOTO E6</t>
    </r>
    <r>
      <rPr>
        <rFont val="Arial"/>
        <b/>
        <color theme="1"/>
        <sz val="12.0"/>
      </rPr>
      <t>S</t>
    </r>
  </si>
  <si>
    <t>📱MOTO E6 PLAY</t>
  </si>
  <si>
    <r>
      <rPr>
        <rFont val="Arial"/>
        <color theme="1"/>
        <sz val="12.0"/>
      </rPr>
      <t>📱MOTO E6</t>
    </r>
    <r>
      <rPr>
        <rFont val="Arial"/>
        <b/>
        <color theme="1"/>
        <sz val="12.0"/>
      </rPr>
      <t>i</t>
    </r>
  </si>
  <si>
    <t xml:space="preserve">📱MOTO E7 </t>
  </si>
  <si>
    <t>📱MOTO E7 PLUS</t>
  </si>
  <si>
    <r>
      <rPr>
        <rFont val="Arial"/>
        <color theme="1"/>
        <sz val="12.0"/>
      </rPr>
      <t>📱MOTO E7</t>
    </r>
    <r>
      <rPr>
        <rFont val="Arial"/>
        <b/>
        <color theme="1"/>
        <sz val="12.0"/>
      </rPr>
      <t xml:space="preserve">i </t>
    </r>
  </si>
  <si>
    <r>
      <rPr>
        <rFont val="Arial"/>
        <color theme="1"/>
        <sz val="12.0"/>
      </rPr>
      <t>📱MOTO E7</t>
    </r>
    <r>
      <rPr>
        <rFont val="Arial"/>
        <b/>
        <color theme="1"/>
        <sz val="12.0"/>
      </rPr>
      <t>i</t>
    </r>
    <r>
      <rPr>
        <rFont val="Arial"/>
        <color theme="1"/>
        <sz val="12.0"/>
      </rPr>
      <t xml:space="preserve"> POWER </t>
    </r>
  </si>
  <si>
    <t>📱MOTO E13</t>
  </si>
  <si>
    <t>📱MOTO E14</t>
  </si>
  <si>
    <t>📱MOTO E20</t>
  </si>
  <si>
    <t>📱MOTO E22/E22i</t>
  </si>
  <si>
    <t>📱MOTO E30</t>
  </si>
  <si>
    <t>📱MOTO E32</t>
  </si>
  <si>
    <t>📱MOTO E40</t>
  </si>
  <si>
    <t>📱MOTO G</t>
  </si>
  <si>
    <t xml:space="preserve">📱MOTO G2 </t>
  </si>
  <si>
    <t xml:space="preserve">📱MOTO G3 </t>
  </si>
  <si>
    <t xml:space="preserve">📱MOTO G4 ORIGINAL </t>
  </si>
  <si>
    <t xml:space="preserve">📱MOTO G4 PLAY </t>
  </si>
  <si>
    <t xml:space="preserve">📱MOTO G4 PLUS </t>
  </si>
  <si>
    <t xml:space="preserve">📱MOTO G5 </t>
  </si>
  <si>
    <t xml:space="preserve">📱MOTO G5 PLUS </t>
  </si>
  <si>
    <r>
      <rPr>
        <rFont val="Arial"/>
        <color rgb="FF000000"/>
        <sz val="12.0"/>
      </rPr>
      <t>📱MOTO G5</t>
    </r>
    <r>
      <rPr>
        <rFont val="Arial"/>
        <b/>
        <color rgb="FF000000"/>
        <sz val="12.0"/>
      </rPr>
      <t>S</t>
    </r>
    <r>
      <rPr>
        <rFont val="Arial"/>
        <color rgb="FF000000"/>
        <sz val="12.0"/>
      </rPr>
      <t xml:space="preserve"> </t>
    </r>
  </si>
  <si>
    <r>
      <rPr>
        <rFont val="Arial"/>
        <color rgb="FF000000"/>
        <sz val="12.0"/>
      </rPr>
      <t>📱MOTO G5</t>
    </r>
    <r>
      <rPr>
        <rFont val="Arial"/>
        <b/>
        <color rgb="FF000000"/>
        <sz val="12.0"/>
      </rPr>
      <t>S</t>
    </r>
    <r>
      <rPr>
        <rFont val="Arial"/>
        <color rgb="FF000000"/>
        <sz val="12.0"/>
      </rPr>
      <t xml:space="preserve"> PLUS </t>
    </r>
  </si>
  <si>
    <t xml:space="preserve">📱MOTO G6 </t>
  </si>
  <si>
    <t xml:space="preserve">📱MOTO G6 PLUS </t>
  </si>
  <si>
    <t xml:space="preserve">📱MOTO G6 PLAY / E5 </t>
  </si>
  <si>
    <t xml:space="preserve">📱MOTO G7/ G7 PLUS </t>
  </si>
  <si>
    <t xml:space="preserve">📱MOTO G7 POWER </t>
  </si>
  <si>
    <t xml:space="preserve">📱MOTO G7 PLAY </t>
  </si>
  <si>
    <t>📱MOTO G8</t>
  </si>
  <si>
    <t xml:space="preserve">📱MOTO G8 PLAY </t>
  </si>
  <si>
    <t xml:space="preserve">📱MOTO G8 PLUS </t>
  </si>
  <si>
    <t xml:space="preserve">📱MOTO G8 POWER </t>
  </si>
  <si>
    <t xml:space="preserve">📱MOTO G8 POWER LITE </t>
  </si>
  <si>
    <t xml:space="preserve">📱MOTO G9 </t>
  </si>
  <si>
    <t xml:space="preserve">📱MOTO G9 POWER </t>
  </si>
  <si>
    <t>📱MOTO G9 PLUS</t>
  </si>
  <si>
    <t xml:space="preserve">📱MOTO G9 PLAY </t>
  </si>
  <si>
    <t xml:space="preserve">📱MOTO G10 </t>
  </si>
  <si>
    <t xml:space="preserve">📱MOTO G10 PLAY </t>
  </si>
  <si>
    <t>📱MOTO G13/G23</t>
  </si>
  <si>
    <t>📱MOTO G14/G54</t>
  </si>
  <si>
    <t xml:space="preserve">📱MOTO G20 </t>
  </si>
  <si>
    <t>📱MOTO G22/E32</t>
  </si>
  <si>
    <t>📱MOTO G23/G13</t>
  </si>
  <si>
    <t xml:space="preserve">📱MOTO G30 </t>
  </si>
  <si>
    <t>📱MOTO G31</t>
  </si>
  <si>
    <t>📱MOTO G32</t>
  </si>
  <si>
    <t>📱MOTO G40</t>
  </si>
  <si>
    <t>📱MOTO G41</t>
  </si>
  <si>
    <t>📱MOTO G42</t>
  </si>
  <si>
    <t>📱MOTO G50</t>
  </si>
  <si>
    <t>📱MOTO G51</t>
  </si>
  <si>
    <t>📱MOTO G52</t>
  </si>
  <si>
    <t>📱MOTO G54</t>
  </si>
  <si>
    <t>📱MOTO G60</t>
  </si>
  <si>
    <r>
      <rPr>
        <rFont val="Arial"/>
        <color rgb="FF000000"/>
        <sz val="12.0"/>
      </rPr>
      <t>📱MOTO G60</t>
    </r>
    <r>
      <rPr>
        <rFont val="Arial"/>
        <b/>
        <color rgb="FF000000"/>
        <sz val="12.0"/>
      </rPr>
      <t>S</t>
    </r>
  </si>
  <si>
    <t>📱MOTO G71</t>
  </si>
  <si>
    <t>📱MOTO G72</t>
  </si>
  <si>
    <t>📱MOTO G82</t>
  </si>
  <si>
    <t xml:space="preserve">📱MOTO G100 </t>
  </si>
  <si>
    <t>📱MOTO G200</t>
  </si>
  <si>
    <t xml:space="preserve">📱MOTO M </t>
  </si>
  <si>
    <t>📱MOTO EDGE XT 2063</t>
  </si>
  <si>
    <t>📱MOTO EDGE 20 LITE</t>
  </si>
  <si>
    <t>📱MOTO EDGE 20 PRO</t>
  </si>
  <si>
    <t xml:space="preserve">📱MOTO EDGE 30 </t>
  </si>
  <si>
    <t>📱MOTO EDGE 30 PRO</t>
  </si>
  <si>
    <t>📱MOTO EDGE 30 FUSION</t>
  </si>
  <si>
    <t>📱MOTO EDGE 30 NEO</t>
  </si>
  <si>
    <t>📱MOTO EDGE 30 ULTRA</t>
  </si>
  <si>
    <t xml:space="preserve">📱MOTO ONE </t>
  </si>
  <si>
    <t xml:space="preserve">📱MOTO ONE POWER </t>
  </si>
  <si>
    <t xml:space="preserve">📱MOTO ONE VISION </t>
  </si>
  <si>
    <t>📱MOTO ONE ACTION</t>
  </si>
  <si>
    <t>📱MOTO ONE HYPER</t>
  </si>
  <si>
    <t>📱MOTO ONE MACRO</t>
  </si>
  <si>
    <t xml:space="preserve">📱MOTO ONE FUSION </t>
  </si>
  <si>
    <t>📱MOTO ONE FUSION PLUS</t>
  </si>
  <si>
    <t>📱MOTO ONE ZOOM</t>
  </si>
  <si>
    <t xml:space="preserve">📱MOTO X </t>
  </si>
  <si>
    <t xml:space="preserve">📱MOTO X PLAY </t>
  </si>
  <si>
    <t xml:space="preserve">📱MOTO X STYLE </t>
  </si>
  <si>
    <t>📱MOTO X2 C/M</t>
  </si>
  <si>
    <t>📱MOTO Z</t>
  </si>
  <si>
    <t xml:space="preserve">📱MOTO Z PLAY </t>
  </si>
  <si>
    <t xml:space="preserve">📱MOTO Z2 PLAY </t>
  </si>
  <si>
    <t xml:space="preserve">📱MOTO Z3 PLAY </t>
  </si>
  <si>
    <t xml:space="preserve">XIAOMI </t>
  </si>
  <si>
    <t xml:space="preserve">📱XIAOMI MI A1/5X </t>
  </si>
  <si>
    <t xml:space="preserve">📱XIAOMI MI A2 </t>
  </si>
  <si>
    <t xml:space="preserve">📱XIAOMI MI A2 LITE </t>
  </si>
  <si>
    <t>📱XIAOMI MI A3 ORIGINAL</t>
  </si>
  <si>
    <t>📱XIAOMI MI A3 OLED</t>
  </si>
  <si>
    <t xml:space="preserve">📱XIAOMI MI 8 </t>
  </si>
  <si>
    <t xml:space="preserve">📱XIAOMI MI 8 LITE </t>
  </si>
  <si>
    <t xml:space="preserve">📱XIAOMI MI 9 </t>
  </si>
  <si>
    <r>
      <rPr>
        <rFont val="Arial"/>
        <color theme="1"/>
        <sz val="12.0"/>
      </rPr>
      <t>📱XIAOMI MI 9</t>
    </r>
    <r>
      <rPr>
        <rFont val="Arial"/>
        <b/>
        <color theme="1"/>
        <sz val="12.0"/>
      </rPr>
      <t>T</t>
    </r>
    <r>
      <rPr>
        <rFont val="Arial"/>
        <color theme="1"/>
        <sz val="12.0"/>
      </rPr>
      <t xml:space="preserve">/9T PRO </t>
    </r>
  </si>
  <si>
    <t xml:space="preserve">📱XIAOMI MI 9 LITE </t>
  </si>
  <si>
    <r>
      <rPr>
        <rFont val="Arial"/>
        <color theme="1"/>
        <sz val="12.0"/>
      </rPr>
      <t xml:space="preserve">📱XIAOMI MI 9 </t>
    </r>
    <r>
      <rPr>
        <rFont val="Arial"/>
        <b/>
        <color theme="1"/>
        <sz val="12.0"/>
      </rPr>
      <t>S</t>
    </r>
  </si>
  <si>
    <t>📱XIAOMI MI 9 SE</t>
  </si>
  <si>
    <t>📱XIAOMI MI 10 LITE</t>
  </si>
  <si>
    <r>
      <rPr>
        <rFont val="Arial"/>
        <color rgb="FF000000"/>
        <sz val="12.0"/>
      </rPr>
      <t>📱XIAOMI MI 10</t>
    </r>
    <r>
      <rPr>
        <rFont val="Arial"/>
        <b/>
        <color rgb="FF000000"/>
        <sz val="12.0"/>
      </rPr>
      <t xml:space="preserve"> T</t>
    </r>
  </si>
  <si>
    <r>
      <rPr>
        <rFont val="Arial"/>
        <color rgb="FF000000"/>
        <sz val="12.0"/>
      </rPr>
      <t>📱XIAOMI MI 10</t>
    </r>
    <r>
      <rPr>
        <rFont val="Arial"/>
        <b/>
        <color rgb="FF000000"/>
        <sz val="12.0"/>
      </rPr>
      <t xml:space="preserve"> </t>
    </r>
    <r>
      <rPr>
        <rFont val="Arial"/>
        <color rgb="FF000000"/>
        <sz val="12.0"/>
      </rPr>
      <t>T PRO</t>
    </r>
  </si>
  <si>
    <t>📱XIAOMI MI 11</t>
  </si>
  <si>
    <t>📱XIAOMI MI 11 LITE 5G</t>
  </si>
  <si>
    <t>📱XIAOMI MI 12 LITE</t>
  </si>
  <si>
    <t>📱XIAOMI MI 13</t>
  </si>
  <si>
    <t>📱XIAOMI MI NOTE 10 (CURVO)</t>
  </si>
  <si>
    <t>📱XIAOMI MI NOTE 10 LITE CURVO</t>
  </si>
  <si>
    <t>📱XIAOMI MI NOTE 12</t>
  </si>
  <si>
    <t xml:space="preserve">📱XIAOMI REDMI S2 </t>
  </si>
  <si>
    <t xml:space="preserve">📱XIAOMI REDMI GO </t>
  </si>
  <si>
    <t>📱XIAOMI REDMI 4</t>
  </si>
  <si>
    <t>📱XIAOMI REDMI 4X</t>
  </si>
  <si>
    <t xml:space="preserve">📱XIAOMI REDMI 5 </t>
  </si>
  <si>
    <t xml:space="preserve">📱XIAOMI REDMI 5A </t>
  </si>
  <si>
    <t xml:space="preserve">📱XIAOMI REDMI 5 PLUS </t>
  </si>
  <si>
    <t>📱XIAOMI REDMI 5X</t>
  </si>
  <si>
    <t xml:space="preserve">📱XIAOMI REDMI 6 / 6A </t>
  </si>
  <si>
    <t>📱XIAOMI REDMI 6 PRO</t>
  </si>
  <si>
    <t>📱XIAOMI REDMI 6 PLUS</t>
  </si>
  <si>
    <t xml:space="preserve">📱XIAOMI REDMI 7 </t>
  </si>
  <si>
    <t xml:space="preserve">📱XIAOMI REDMI 7A </t>
  </si>
  <si>
    <t xml:space="preserve">📱XIAOMI REDMI 7 PRO </t>
  </si>
  <si>
    <t xml:space="preserve">📱XIAOMI REDMI 8 </t>
  </si>
  <si>
    <t xml:space="preserve">📱XIAOMI REDMI 8A </t>
  </si>
  <si>
    <t>📱XIAOMI REDMI 9</t>
  </si>
  <si>
    <t>📱XIAOMI REDMI 9A/9C/9AT</t>
  </si>
  <si>
    <t>📱XIAOMI REDMI 9T</t>
  </si>
  <si>
    <t>📱XIAOMI REDMI 10 / NOTE 115G</t>
  </si>
  <si>
    <t>📱XIAOMI REDMI 10A</t>
  </si>
  <si>
    <t>📱XIAOMI REDMI 10C</t>
  </si>
  <si>
    <t>📱XIAOMI REDMI 11 LITE 5G</t>
  </si>
  <si>
    <t>📱XIAOMI REDMI 12C</t>
  </si>
  <si>
    <t>📱XIAOMI REDMI 13C</t>
  </si>
  <si>
    <t>📱XIAOMI REDMI NOTE 4</t>
  </si>
  <si>
    <t xml:space="preserve">📱XIAOMI REDMI NOTE 4X </t>
  </si>
  <si>
    <t>📱XIAOMI REDMI NOTE 5 / 5 PRO</t>
  </si>
  <si>
    <t xml:space="preserve">📱XIAOMI REDMI NOTE 5A </t>
  </si>
  <si>
    <t>📱XIAOMI REDMI NOTE 5A PRIME</t>
  </si>
  <si>
    <t xml:space="preserve">📱XIAOMI REDMI NOTE 6 </t>
  </si>
  <si>
    <t xml:space="preserve">📱XIAOMI REDMI NOTE 6 PRO </t>
  </si>
  <si>
    <t>📱XIAOMI REDMI NOTE 7</t>
  </si>
  <si>
    <t>📱XIAOMI REDMI NOTE 7 pro</t>
  </si>
  <si>
    <t xml:space="preserve">📱XIAOMI REDMI NOTE 8 </t>
  </si>
  <si>
    <t xml:space="preserve">📱XIAOMI REDMI NOTE 8 PRO </t>
  </si>
  <si>
    <r>
      <rPr>
        <rFont val="Arial"/>
        <color theme="1"/>
        <sz val="12.0"/>
      </rPr>
      <t>📱XIAOMI REDMI NOTE 8</t>
    </r>
    <r>
      <rPr>
        <rFont val="Arial"/>
        <b/>
        <color theme="1"/>
        <sz val="12.0"/>
      </rPr>
      <t xml:space="preserve">T </t>
    </r>
  </si>
  <si>
    <r>
      <rPr>
        <rFont val="Arial"/>
        <color theme="1"/>
        <sz val="12.0"/>
      </rPr>
      <t>📱XIAOMI REDMI NOTE 8</t>
    </r>
    <r>
      <rPr>
        <rFont val="Arial"/>
        <b/>
        <color theme="1"/>
        <sz val="12.0"/>
      </rPr>
      <t>A</t>
    </r>
  </si>
  <si>
    <t xml:space="preserve">📱XIAOMI REDMI NOTE 9 </t>
  </si>
  <si>
    <r>
      <rPr>
        <rFont val="Arial"/>
        <color theme="1"/>
        <sz val="12.0"/>
      </rPr>
      <t>📱XIAOMI REDMI NOTE 9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</si>
  <si>
    <t xml:space="preserve">📱XIAOMI REDMI NOTE 9C </t>
  </si>
  <si>
    <r>
      <rPr>
        <rFont val="Arial"/>
        <color rgb="FF000000"/>
        <sz val="12.0"/>
      </rPr>
      <t>📱XIAOMI REDMI NOTE 9</t>
    </r>
    <r>
      <rPr>
        <rFont val="Arial"/>
        <b/>
        <color rgb="FF000000"/>
        <sz val="12.0"/>
      </rPr>
      <t>T</t>
    </r>
  </si>
  <si>
    <t>📱XIAOMI REDMI NOTE 9 PRO</t>
  </si>
  <si>
    <t>📱XIAOMI REDMI NOTE 10 4G RECTO</t>
  </si>
  <si>
    <t>📱XIAOMI REDMI NOTE 10 5G</t>
  </si>
  <si>
    <r>
      <rPr>
        <rFont val="Arial"/>
        <color theme="1"/>
        <sz val="12.0"/>
      </rPr>
      <t>📱XIAOMI REDMI NOTE 10</t>
    </r>
    <r>
      <rPr>
        <rFont val="Arial"/>
        <b/>
        <color theme="1"/>
        <sz val="12.0"/>
      </rPr>
      <t xml:space="preserve"> S</t>
    </r>
  </si>
  <si>
    <t>118-126</t>
  </si>
  <si>
    <t>📱XIAOMI NOTE 10 (CURVO)</t>
  </si>
  <si>
    <t>📱XIAOMI NOTE 10 PRO</t>
  </si>
  <si>
    <t>📱XIAOMI NOTE 11 4G / NOTE 11 S</t>
  </si>
  <si>
    <t>📱XIAOMI NOTE 11 5G</t>
  </si>
  <si>
    <t>📱XIAOMI NOTE 11 pro</t>
  </si>
  <si>
    <t>📱XIAOMI NOTE 12</t>
  </si>
  <si>
    <t>📱XIAOMI NOTE 12 PRO</t>
  </si>
  <si>
    <t>📱XIAOMI POCO M2/M3</t>
  </si>
  <si>
    <t>📱XIAOMI POCO M3 PRO</t>
  </si>
  <si>
    <t>📱XIAOMI POCO C3</t>
  </si>
  <si>
    <t xml:space="preserve"> LG </t>
  </si>
  <si>
    <t>📱K4 2017</t>
  </si>
  <si>
    <t xml:space="preserve">📱K8 2016 </t>
  </si>
  <si>
    <t xml:space="preserve">📱K8 2017 </t>
  </si>
  <si>
    <t xml:space="preserve">📱K9 </t>
  </si>
  <si>
    <t xml:space="preserve">📱K10 2017 </t>
  </si>
  <si>
    <t xml:space="preserve">📱K10 2018 </t>
  </si>
  <si>
    <t xml:space="preserve">📱K10 4G (430AR) </t>
  </si>
  <si>
    <t xml:space="preserve">📱K11 </t>
  </si>
  <si>
    <t xml:space="preserve">📱K11 PLUS </t>
  </si>
  <si>
    <t>📱K20</t>
  </si>
  <si>
    <t>📱K22/ K22+</t>
  </si>
  <si>
    <t>📱K30</t>
  </si>
  <si>
    <t>📱K31</t>
  </si>
  <si>
    <t>📱K40</t>
  </si>
  <si>
    <r>
      <rPr>
        <rFont val="Arial"/>
        <color theme="1"/>
        <sz val="12.0"/>
      </rPr>
      <t>📱K40</t>
    </r>
    <r>
      <rPr>
        <rFont val="Arial"/>
        <b/>
        <color theme="1"/>
        <sz val="12.0"/>
      </rPr>
      <t>S</t>
    </r>
  </si>
  <si>
    <r>
      <rPr>
        <rFont val="Arial"/>
        <color theme="1"/>
        <sz val="12.0"/>
      </rPr>
      <t>📱K41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</si>
  <si>
    <t xml:space="preserve">📱K42 </t>
  </si>
  <si>
    <t xml:space="preserve">📱K50 </t>
  </si>
  <si>
    <r>
      <rPr>
        <rFont val="Arial"/>
        <color theme="1"/>
        <sz val="12.0"/>
      </rPr>
      <t>📱K50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</si>
  <si>
    <t xml:space="preserve">📱K51 </t>
  </si>
  <si>
    <r>
      <rPr>
        <rFont val="Arial"/>
        <color theme="1"/>
        <sz val="12.0"/>
      </rPr>
      <t>📱K51</t>
    </r>
    <r>
      <rPr>
        <rFont val="Arial"/>
        <b/>
        <color theme="1"/>
        <sz val="12.0"/>
      </rPr>
      <t>S</t>
    </r>
  </si>
  <si>
    <t xml:space="preserve">67 k52 </t>
  </si>
  <si>
    <t>📱K52</t>
  </si>
  <si>
    <t>📱K60</t>
  </si>
  <si>
    <t xml:space="preserve">📱K61 </t>
  </si>
  <si>
    <t>📱K61 S</t>
  </si>
  <si>
    <t>📱K62</t>
  </si>
  <si>
    <t>📱K71</t>
  </si>
  <si>
    <t xml:space="preserve">📱X CAM (K580) </t>
  </si>
  <si>
    <t xml:space="preserve">📱LG Q6 C/M </t>
  </si>
  <si>
    <t>📱LG Q60 C/M</t>
  </si>
  <si>
    <t>📱LG LEON C/M</t>
  </si>
  <si>
    <t xml:space="preserve">📱X POWER </t>
  </si>
  <si>
    <t xml:space="preserve">📱X MAX </t>
  </si>
  <si>
    <t>📱LG SPIRIT C/M</t>
  </si>
  <si>
    <t xml:space="preserve">📱LG STYLUS 3 C/M ORIGINAL </t>
  </si>
  <si>
    <t xml:space="preserve">📱STYLUS 4 </t>
  </si>
  <si>
    <t xml:space="preserve">📱LG OPTIMUS G ORIGINAL </t>
  </si>
  <si>
    <t xml:space="preserve">📱LG MINI ORIGINAL </t>
  </si>
  <si>
    <t xml:space="preserve">📱LG G3 MINI ORIGINAL </t>
  </si>
  <si>
    <t xml:space="preserve">📱LG G3 BEAT ORIGINAL </t>
  </si>
  <si>
    <t xml:space="preserve">HUAWEI </t>
  </si>
  <si>
    <t>📱G8 ORIGINAL</t>
  </si>
  <si>
    <t>📱G9 ORIGINAL</t>
  </si>
  <si>
    <t>📱GW</t>
  </si>
  <si>
    <t xml:space="preserve">📱GW METAL/ Y7 PRIME </t>
  </si>
  <si>
    <t>📱MATE 7</t>
  </si>
  <si>
    <t>📱MATE 8</t>
  </si>
  <si>
    <t xml:space="preserve">📱MATE 9 </t>
  </si>
  <si>
    <t xml:space="preserve">📱MATE 9 LITE FLEX CURVO </t>
  </si>
  <si>
    <t xml:space="preserve">📱MATE 9 LITE FLEX RECTO </t>
  </si>
  <si>
    <t>📱MATE 10</t>
  </si>
  <si>
    <t xml:space="preserve">📱MATE 10 LITE </t>
  </si>
  <si>
    <t>📱MATE 10 PRO</t>
  </si>
  <si>
    <t xml:space="preserve">📱MATE 20 </t>
  </si>
  <si>
    <t>📱MATE 20 lite</t>
  </si>
  <si>
    <t xml:space="preserve">📱P SMART </t>
  </si>
  <si>
    <t xml:space="preserve">📱P SMART 2019 </t>
  </si>
  <si>
    <t xml:space="preserve">📱P8 </t>
  </si>
  <si>
    <t xml:space="preserve">📱P8 LITE </t>
  </si>
  <si>
    <t xml:space="preserve">📱P8 LITE 2017/ P9 LITE 2017 </t>
  </si>
  <si>
    <t xml:space="preserve">📱P9 </t>
  </si>
  <si>
    <t xml:space="preserve">📱P9 LITE </t>
  </si>
  <si>
    <t xml:space="preserve">📱P9 LITE SMART </t>
  </si>
  <si>
    <t xml:space="preserve">📱P10 </t>
  </si>
  <si>
    <t xml:space="preserve">📱P10 LITE </t>
  </si>
  <si>
    <t xml:space="preserve">📱P20 </t>
  </si>
  <si>
    <t xml:space="preserve">📱P20 LITE </t>
  </si>
  <si>
    <t>📱P20 PRO</t>
  </si>
  <si>
    <t xml:space="preserve">📱P30 </t>
  </si>
  <si>
    <t xml:space="preserve">📱P30 LITE </t>
  </si>
  <si>
    <t>📱P30 PRO</t>
  </si>
  <si>
    <t xml:space="preserve">📱P40 LITE </t>
  </si>
  <si>
    <t xml:space="preserve">📱Y3 II </t>
  </si>
  <si>
    <t>📱Y5 2017 / Y6 2017</t>
  </si>
  <si>
    <t xml:space="preserve">📱Y5 lite 2017 / Y3 2017 </t>
  </si>
  <si>
    <t>📱Y5 2018 / Y5 PRIME</t>
  </si>
  <si>
    <t>📱Y5 2019</t>
  </si>
  <si>
    <t xml:space="preserve">📱Y6 </t>
  </si>
  <si>
    <t xml:space="preserve">📱Y6 II </t>
  </si>
  <si>
    <t>📱Y6 2017 / Y5 2017</t>
  </si>
  <si>
    <t>📱Y6 2018 / Y6 PRIME</t>
  </si>
  <si>
    <t>📱Y6 PRIME 2020</t>
  </si>
  <si>
    <t>📱Y6 2019 / Y6S</t>
  </si>
  <si>
    <t>📱Y7</t>
  </si>
  <si>
    <t>📱Y7 2018</t>
  </si>
  <si>
    <t>📱Y7 PRIME 2018 / GW METAL</t>
  </si>
  <si>
    <t>📱Y7 PRIME 2020</t>
  </si>
  <si>
    <t xml:space="preserve">📱Y7 2019 </t>
  </si>
  <si>
    <t>📱Y8 PRIME 2020</t>
  </si>
  <si>
    <t xml:space="preserve">📱Y9 2018 </t>
  </si>
  <si>
    <t xml:space="preserve">📱Y9 2019 </t>
  </si>
  <si>
    <t>📱Y9 PRIME</t>
  </si>
  <si>
    <t>📱HONOR 7X</t>
  </si>
  <si>
    <t>📱HONOR 8</t>
  </si>
  <si>
    <t>📱HONOR 8X</t>
  </si>
  <si>
    <t>📱HONOR 9X 5G</t>
  </si>
  <si>
    <t>🪢TCL🪢</t>
  </si>
  <si>
    <t>⚫TCL L5 GO (5133A)</t>
  </si>
  <si>
    <t>⚫TCL L7+ (5102B)</t>
  </si>
  <si>
    <t>⚫TCL L9 (5159A)</t>
  </si>
  <si>
    <t>⚫TCL L9+ (5101A)</t>
  </si>
  <si>
    <t>⚫TCL L9S (5107G)</t>
  </si>
  <si>
    <t>⚫TCL L10 (5124J)</t>
  </si>
  <si>
    <t>⚫TCL L10 +</t>
  </si>
  <si>
    <t>⚫TCL 10 SE (T776H)</t>
  </si>
  <si>
    <t>⚫TCL L10 LITE (4187M)</t>
  </si>
  <si>
    <t>⚫TCL 20L</t>
  </si>
  <si>
    <t>⚫TCL 20 SE (T671H)</t>
  </si>
  <si>
    <t>⚫TCL 20Y (6156D)</t>
  </si>
  <si>
    <t>⚫TCL 20E (6125)</t>
  </si>
  <si>
    <t>⚫TCL GALA (G60)</t>
  </si>
  <si>
    <t>⚫TCL C7 (5058A)</t>
  </si>
  <si>
    <t>⚫TCL T7</t>
  </si>
  <si>
    <t>⚫TCL T PRO</t>
  </si>
  <si>
    <t>⚫TCL T9</t>
  </si>
  <si>
    <t>⚫TCL 20B</t>
  </si>
  <si>
    <t>⚫TCL 30E</t>
  </si>
  <si>
    <t>⚫TCL 30SE</t>
  </si>
  <si>
    <t>⚫TCL 305/305i</t>
  </si>
  <si>
    <t>⚫TCL 30 +</t>
  </si>
  <si>
    <t>⚫TCL 405</t>
  </si>
  <si>
    <t>⚫TCL 408</t>
  </si>
  <si>
    <t>🟣ALCATEL 🟣</t>
  </si>
  <si>
    <t>🟣U5 5044</t>
  </si>
  <si>
    <t>🟣1 5033 (version 5033M)</t>
  </si>
  <si>
    <t>🟣1B 2020</t>
  </si>
  <si>
    <t>🟣1B 2022</t>
  </si>
  <si>
    <t>🟣1L</t>
  </si>
  <si>
    <t>🟣1S 5024</t>
  </si>
  <si>
    <t>🟣1S 2021</t>
  </si>
  <si>
    <t>🟣1V 2019 5001</t>
  </si>
  <si>
    <t>🟣1V PLUS 5007</t>
  </si>
  <si>
    <t>🟣1X 5059</t>
  </si>
  <si>
    <t>🟣1S 2020 5028</t>
  </si>
  <si>
    <t>🟣1SE</t>
  </si>
  <si>
    <t>🟣IDOL (6030)</t>
  </si>
  <si>
    <t>🟣IDOL MINI (6012)</t>
  </si>
  <si>
    <t>🟣IDOL MINI 2 (6036)</t>
  </si>
  <si>
    <t>🟣IDOL MINI 3 (6039)</t>
  </si>
  <si>
    <t>🟣IDOL 3 5,5" (6045)</t>
  </si>
  <si>
    <t>🟣IDOL X (6040)</t>
  </si>
  <si>
    <t>🟣A3 XL 9008</t>
  </si>
  <si>
    <t>🟣A3 PLUS  5049</t>
  </si>
  <si>
    <t>🟣PIXI 4 6” 5098</t>
  </si>
  <si>
    <t>🟣3L 2020</t>
  </si>
  <si>
    <t>🟣3L 2021</t>
  </si>
  <si>
    <t>🟣3V 5099</t>
  </si>
  <si>
    <t>🟣3H 6025A</t>
  </si>
  <si>
    <t>🟣3H PLUS</t>
  </si>
  <si>
    <t>🟣3X 2018 5058</t>
  </si>
  <si>
    <t>🟣3X 2019 5048</t>
  </si>
  <si>
    <t>🟣5X 2021</t>
  </si>
  <si>
    <t>🟣5H 5056</t>
  </si>
  <si>
    <t>🟣5H PLUS</t>
  </si>
  <si>
    <t>🟢 SONY 🟢</t>
  </si>
  <si>
    <t>🟢Z5 PREMIUM</t>
  </si>
  <si>
    <t>🟢L1 C/M</t>
  </si>
  <si>
    <t>🟢M2 AQUA</t>
  </si>
  <si>
    <t>🟢M4 AQUA</t>
  </si>
  <si>
    <t>🟢M5</t>
  </si>
  <si>
    <t>🟢X (5122) C/M</t>
  </si>
  <si>
    <t>🟢XA</t>
  </si>
  <si>
    <t>🟢XA ULTRA</t>
  </si>
  <si>
    <t>🟢XA1 C/M</t>
  </si>
  <si>
    <t>🟢XA1 ULTRA C/M</t>
  </si>
  <si>
    <t>🟢XA1 PLUS C/M</t>
  </si>
  <si>
    <t>🟢XZ PREMIUM C/M</t>
  </si>
  <si>
    <t>🟢XZ1 C/M</t>
  </si>
  <si>
    <t>🟢XA2 C/M</t>
  </si>
  <si>
    <t>🟢XA2 ULTRA C/M</t>
  </si>
  <si>
    <t>⚫NOKIA⚫</t>
  </si>
  <si>
    <t>⚫ 630/635</t>
  </si>
  <si>
    <t>⚫ 640</t>
  </si>
  <si>
    <t>⚫ 640 XL</t>
  </si>
  <si>
    <t>⚫ 1 PLUS</t>
  </si>
  <si>
    <t>⚫ 1.3</t>
  </si>
  <si>
    <t>⚫ 1.4</t>
  </si>
  <si>
    <t>⚫ 2.2</t>
  </si>
  <si>
    <t>⚫ 2.3</t>
  </si>
  <si>
    <t>⚫ 2.3 C/M</t>
  </si>
  <si>
    <t>⚫ 2.4</t>
  </si>
  <si>
    <t>⚫ 2.4 C/M</t>
  </si>
  <si>
    <t>⚫ 3.1 PLUS</t>
  </si>
  <si>
    <t>⚫ 5.1</t>
  </si>
  <si>
    <t>⚫ 5.1 PLUS</t>
  </si>
  <si>
    <t>⚫ 6.1</t>
  </si>
  <si>
    <t xml:space="preserve">⚫ 7.1 </t>
  </si>
  <si>
    <t>⚫ 7.1 PLUS</t>
  </si>
  <si>
    <t>🟤ZTE🟤</t>
  </si>
  <si>
    <t>🟤A5 2019</t>
  </si>
  <si>
    <t>🟤A7 2019</t>
  </si>
  <si>
    <t>🟤A3 2020</t>
  </si>
  <si>
    <t>🟤A5 2020 / A7 2019 / A7 2020</t>
  </si>
  <si>
    <t>🟤A7S 2019</t>
  </si>
  <si>
    <t>🟤A7S 2020</t>
  </si>
  <si>
    <t>🟤A3 LITE</t>
  </si>
  <si>
    <t>🟤A31 PLUS</t>
  </si>
  <si>
    <t>🟤A5 PLUS</t>
  </si>
  <si>
    <t>🟤A51</t>
  </si>
  <si>
    <t>🟤A71</t>
  </si>
  <si>
    <t>🟤A602</t>
  </si>
  <si>
    <t>🟤V SMART</t>
  </si>
  <si>
    <t>🟤V 2020 5G</t>
  </si>
  <si>
    <t>🟤V10</t>
  </si>
  <si>
    <t>🟤V10 VITA</t>
  </si>
  <si>
    <t>🟤V20 SMART</t>
  </si>
  <si>
    <t>🟤V30 VITA</t>
  </si>
  <si>
    <t>🟤V40 VITA</t>
  </si>
  <si>
    <t>🟤V9 VITA</t>
  </si>
  <si>
    <t>🟤L210</t>
  </si>
  <si>
    <t>🟤Z981</t>
  </si>
  <si>
    <t>🟤Z982</t>
  </si>
  <si>
    <t>🟤405 / 408</t>
  </si>
  <si>
    <t>---$  5.450</t>
  </si>
  <si>
    <t>---$  9.350</t>
  </si>
  <si>
    <t>ACTUALIZADA 04/01/2024</t>
  </si>
  <si>
    <t>TABLET MICRO</t>
  </si>
  <si>
    <t>PARLANTE MICRO CHIQUITO</t>
  </si>
  <si>
    <t>POSNET MICRO</t>
  </si>
  <si>
    <t>PARLANTE MICRO MEDIANO</t>
  </si>
  <si>
    <t>PARLANTE MICRO GRANDE</t>
  </si>
  <si>
    <t>SAMSUNG</t>
  </si>
  <si>
    <t>PRECIO</t>
  </si>
  <si>
    <t>TARJETA</t>
  </si>
  <si>
    <t>PLACA CARGA</t>
  </si>
  <si>
    <t>MOTOROLA</t>
  </si>
  <si>
    <t>📱GRAND PRIME (comun)</t>
  </si>
  <si>
    <t>📱MOTO C (comun)</t>
  </si>
  <si>
    <t>📱IPHONE 5</t>
  </si>
  <si>
    <t>📱A01 (comun)</t>
  </si>
  <si>
    <t>📱MOTO C PLUS (comun)</t>
  </si>
  <si>
    <t xml:space="preserve">📱IPHONE 5S/5SE </t>
  </si>
  <si>
    <t>📱A01 CORE (comun)</t>
  </si>
  <si>
    <t>📱MOTO E (comun)</t>
  </si>
  <si>
    <t xml:space="preserve">📱IPHONE 6 </t>
  </si>
  <si>
    <t>📱A02 (comun)</t>
  </si>
  <si>
    <r>
      <rPr>
        <rFont val="Arial"/>
        <color theme="1"/>
        <sz val="12.0"/>
      </rPr>
      <t xml:space="preserve">📱MOTO E2 (comun) </t>
    </r>
    <r>
      <rPr>
        <rFont val="Arial"/>
        <b/>
        <color theme="1"/>
        <sz val="12.0"/>
      </rPr>
      <t>(pantalla)</t>
    </r>
  </si>
  <si>
    <t xml:space="preserve">📱IPHONE 6S </t>
  </si>
  <si>
    <r>
      <rPr>
        <rFont val="Arial"/>
        <color theme="1"/>
        <sz val="12.0"/>
      </rPr>
      <t>📱A02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(tipo c)</t>
    </r>
  </si>
  <si>
    <t>📱MOTO E3 (comun)</t>
  </si>
  <si>
    <t xml:space="preserve">📱IPHONE 6 PLUS </t>
  </si>
  <si>
    <t>📱A2 CORE (comun)</t>
  </si>
  <si>
    <t>📱MOTO E4 (comun)</t>
  </si>
  <si>
    <t xml:space="preserve">📱IPHONE 6S PLUS </t>
  </si>
  <si>
    <r>
      <rPr>
        <rFont val="Arial"/>
        <color theme="1"/>
        <sz val="12.0"/>
      </rPr>
      <t>📱A03/A03</t>
    </r>
    <r>
      <rPr>
        <rFont val="Arial"/>
        <b/>
        <color theme="1"/>
        <sz val="12.0"/>
      </rPr>
      <t>S/</t>
    </r>
    <r>
      <rPr>
        <rFont val="Arial"/>
        <color theme="1"/>
        <sz val="12.0"/>
      </rPr>
      <t>A03 core (tipo c)</t>
    </r>
  </si>
  <si>
    <t>📱MOTO E4 PLUS (comun)</t>
  </si>
  <si>
    <t xml:space="preserve">📱IPHONE 7 </t>
  </si>
  <si>
    <t>📱A04/A04S/A04E (tipo c )</t>
  </si>
  <si>
    <t>📱MOTO E5 (comun)</t>
  </si>
  <si>
    <t xml:space="preserve">📱IPHONE 7 PLUS </t>
  </si>
  <si>
    <r>
      <rPr>
        <rFont val="Arial"/>
        <color theme="1"/>
        <sz val="12.0"/>
      </rPr>
      <t xml:space="preserve">📱A5 2015 (comun) </t>
    </r>
    <r>
      <rPr>
        <rFont val="Arial"/>
        <b/>
        <color theme="1"/>
        <sz val="12.0"/>
      </rPr>
      <t>(pantalla)</t>
    </r>
  </si>
  <si>
    <t>📱MOTO E5 PLUS (comun)</t>
  </si>
  <si>
    <t xml:space="preserve">📱IPHONE 8 </t>
  </si>
  <si>
    <t>📱A5 2016 (comun)</t>
  </si>
  <si>
    <t>📱MOTO E5 PLAY GO (comun)</t>
  </si>
  <si>
    <t xml:space="preserve">📱IPHONE 8 PLUS </t>
  </si>
  <si>
    <t>📱A5 2017 (tipo c)</t>
  </si>
  <si>
    <t>📱MOTO E6 (comun)</t>
  </si>
  <si>
    <t xml:space="preserve">📱IPHONE X </t>
  </si>
  <si>
    <r>
      <rPr>
        <rFont val="Arial"/>
        <color theme="1"/>
        <sz val="12.0"/>
      </rPr>
      <t xml:space="preserve">📱A6 PLUS (comun) </t>
    </r>
    <r>
      <rPr>
        <rFont val="Arial"/>
        <b/>
        <color theme="1"/>
        <sz val="12.0"/>
      </rPr>
      <t>(pantalla)</t>
    </r>
  </si>
  <si>
    <t>📱MOTO E6 PLUS (comun)</t>
  </si>
  <si>
    <t xml:space="preserve">📱IPHONE XS </t>
  </si>
  <si>
    <t>📱A7 2015 / A7 2016 (comun)</t>
  </si>
  <si>
    <r>
      <rPr>
        <rFont val="Arial"/>
        <color theme="1"/>
        <sz val="12.0"/>
      </rPr>
      <t>📱MOTO E6</t>
    </r>
    <r>
      <rPr>
        <rFont val="Arial"/>
        <b/>
        <color theme="1"/>
        <sz val="12.0"/>
      </rPr>
      <t xml:space="preserve">S </t>
    </r>
    <r>
      <rPr>
        <rFont val="Arial"/>
        <color theme="1"/>
        <sz val="12.0"/>
      </rPr>
      <t>(comun)</t>
    </r>
  </si>
  <si>
    <t xml:space="preserve">📱IPHONE XS MAX </t>
  </si>
  <si>
    <t>📱A7 2017 (tipo c)</t>
  </si>
  <si>
    <t>📱MOTO E6 PLAY (comun)</t>
  </si>
  <si>
    <t xml:space="preserve">📱IPHONE XR </t>
  </si>
  <si>
    <t>📱A7 2018 (comun)</t>
  </si>
  <si>
    <r>
      <rPr>
        <rFont val="Arial"/>
        <color theme="1"/>
        <sz val="12.0"/>
      </rPr>
      <t>📱MOTO E6</t>
    </r>
    <r>
      <rPr>
        <rFont val="Arial"/>
        <b/>
        <color theme="1"/>
        <sz val="12.0"/>
      </rPr>
      <t xml:space="preserve">i </t>
    </r>
    <r>
      <rPr>
        <rFont val="Arial"/>
        <color theme="1"/>
        <sz val="12.0"/>
      </rPr>
      <t>(comun)</t>
    </r>
  </si>
  <si>
    <t xml:space="preserve">📱IPHONE 11 </t>
  </si>
  <si>
    <t>📱A8 2018 (tipo c)</t>
  </si>
  <si>
    <t>📱MOTO E7 (tipo c)</t>
  </si>
  <si>
    <t>📱IPHONE 11 PRO</t>
  </si>
  <si>
    <r>
      <rPr>
        <rFont val="Arial"/>
        <color theme="1"/>
        <sz val="12.0"/>
      </rPr>
      <t>📱A10 / A10</t>
    </r>
    <r>
      <rPr>
        <rFont val="Arial"/>
        <b/>
        <color theme="1"/>
        <sz val="12.0"/>
      </rPr>
      <t xml:space="preserve">E </t>
    </r>
    <r>
      <rPr>
        <rFont val="Arial"/>
        <color theme="1"/>
        <sz val="12.0"/>
      </rPr>
      <t>/ A10</t>
    </r>
    <r>
      <rPr>
        <rFont val="Arial"/>
        <b/>
        <color theme="1"/>
        <sz val="12.0"/>
      </rPr>
      <t>S / M10</t>
    </r>
    <r>
      <rPr>
        <rFont val="Arial"/>
        <color theme="1"/>
        <sz val="12.0"/>
      </rPr>
      <t xml:space="preserve"> (comun)</t>
    </r>
  </si>
  <si>
    <t>📱MOTO E7 PLUS (Comun)</t>
  </si>
  <si>
    <t xml:space="preserve">📱IPHONE 11 PRO MAX </t>
  </si>
  <si>
    <t>📱A11 (tipo c)</t>
  </si>
  <si>
    <t>📱MOTO E7 POWER (tipo c)</t>
  </si>
  <si>
    <t>📱IPHONE 12</t>
  </si>
  <si>
    <r>
      <rPr>
        <rFont val="Arial"/>
        <color theme="1"/>
        <sz val="12.0"/>
      </rPr>
      <t>📱A12 /</t>
    </r>
    <r>
      <rPr>
        <rFont val="Arial"/>
        <b/>
        <color theme="1"/>
        <sz val="12.0"/>
      </rPr>
      <t xml:space="preserve"> M12 (</t>
    </r>
    <r>
      <rPr>
        <rFont val="Arial"/>
        <color theme="1"/>
        <sz val="12.0"/>
      </rPr>
      <t>tipo c)</t>
    </r>
  </si>
  <si>
    <r>
      <rPr>
        <rFont val="Arial"/>
        <color theme="1"/>
        <sz val="12.0"/>
      </rPr>
      <t>📱MOTO E7</t>
    </r>
    <r>
      <rPr>
        <rFont val="Arial"/>
        <b/>
        <color theme="1"/>
        <sz val="12.0"/>
      </rPr>
      <t xml:space="preserve">i </t>
    </r>
    <r>
      <rPr>
        <rFont val="Arial"/>
        <color theme="1"/>
        <sz val="12.0"/>
      </rPr>
      <t>(tipo c)</t>
    </r>
  </si>
  <si>
    <t>📱IPHONE 12 MINI</t>
  </si>
  <si>
    <t>📱A13 (tipo c)</t>
  </si>
  <si>
    <r>
      <rPr>
        <rFont val="Arial"/>
        <color theme="1"/>
        <sz val="12.0"/>
      </rPr>
      <t>📱MOTO E7</t>
    </r>
    <r>
      <rPr>
        <rFont val="Arial"/>
        <b/>
        <color theme="1"/>
        <sz val="12.0"/>
      </rPr>
      <t>i</t>
    </r>
    <r>
      <rPr>
        <rFont val="Arial"/>
        <color theme="1"/>
        <sz val="12.0"/>
      </rPr>
      <t xml:space="preserve"> POWER (tipo c)</t>
    </r>
  </si>
  <si>
    <t>📱IPHONE 12 PRO</t>
  </si>
  <si>
    <t>📱A14 (tipo c)</t>
  </si>
  <si>
    <t>📱MOTO E13 (tipo c)</t>
  </si>
  <si>
    <t>📱A15 (tipo c)</t>
  </si>
  <si>
    <t>📱MOTO E20 (tipo c)</t>
  </si>
  <si>
    <t>📱IPHONE 12 PRO MAX</t>
  </si>
  <si>
    <r>
      <rPr>
        <rFont val="Arial"/>
        <color theme="1"/>
        <sz val="12.0"/>
      </rPr>
      <t>📱</t>
    </r>
    <r>
      <rPr>
        <rFont val="Arial"/>
        <b/>
        <color theme="1"/>
        <sz val="12.0"/>
      </rPr>
      <t>M</t>
    </r>
    <r>
      <rPr>
        <rFont val="Arial"/>
        <color theme="1"/>
        <sz val="12.0"/>
      </rPr>
      <t>20 (TIPO C)</t>
    </r>
  </si>
  <si>
    <t>📱MOTO E22/E22i (tipo c)</t>
  </si>
  <si>
    <r>
      <rPr>
        <rFont val="Arial"/>
        <color theme="1"/>
        <sz val="12.0"/>
      </rPr>
      <t>📱A20 / A20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(tipo c)</t>
    </r>
  </si>
  <si>
    <t>📱MOTO E32 (tipo c)</t>
  </si>
  <si>
    <r>
      <rPr>
        <rFont val="Arial"/>
        <color theme="1"/>
        <sz val="12.0"/>
      </rPr>
      <t>📱A21 / A21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(tipo c)</t>
    </r>
  </si>
  <si>
    <t>📱MOTO E40 (tipo c)</t>
  </si>
  <si>
    <r>
      <rPr>
        <rFont val="Arial"/>
        <color theme="1"/>
        <sz val="12.0"/>
      </rPr>
      <t xml:space="preserve">📱A22 </t>
    </r>
    <r>
      <rPr>
        <rFont val="Arial"/>
        <b/>
        <color theme="1"/>
        <sz val="12.0"/>
      </rPr>
      <t>(4G) /</t>
    </r>
    <r>
      <rPr>
        <rFont val="Arial"/>
        <color theme="1"/>
        <sz val="12.0"/>
      </rPr>
      <t xml:space="preserve"> A22 </t>
    </r>
    <r>
      <rPr>
        <rFont val="Arial"/>
        <b/>
        <color theme="1"/>
        <sz val="12.0"/>
      </rPr>
      <t xml:space="preserve">(5G) </t>
    </r>
    <r>
      <rPr>
        <rFont val="Arial"/>
        <color theme="1"/>
        <sz val="12.0"/>
      </rPr>
      <t>(tipo c)</t>
    </r>
  </si>
  <si>
    <t>📱MOTO G (Comun)</t>
  </si>
  <si>
    <t>📱A24 (tipo c)</t>
  </si>
  <si>
    <t>📱MOTO G2 (Comun)</t>
  </si>
  <si>
    <t>📱A30 / A30S / M30 / M30S (tipo c)</t>
  </si>
  <si>
    <t xml:space="preserve">📱MOTO G3 (Comun) </t>
  </si>
  <si>
    <t>📱A31 (tipo c)</t>
  </si>
  <si>
    <t>📱MOTO G4 (comun)</t>
  </si>
  <si>
    <t>📱A32 (tipo c)</t>
  </si>
  <si>
    <t>📱MOTO G4 PLAY (comun)</t>
  </si>
  <si>
    <t>📱A40 (tipo c)</t>
  </si>
  <si>
    <t>📱MOTO G4 PLUS (comun)</t>
  </si>
  <si>
    <t>📱A50 / A50s (tipo c)</t>
  </si>
  <si>
    <t>📱MOTO G5  (comun)</t>
  </si>
  <si>
    <t>📱A51 (tipo c)</t>
  </si>
  <si>
    <r>
      <rPr>
        <rFont val="Arial"/>
        <color theme="1"/>
        <sz val="12.0"/>
      </rPr>
      <t>📱MOTO G5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(comun) </t>
    </r>
    <r>
      <rPr>
        <rFont val="Arial"/>
        <b/>
        <color theme="1"/>
        <sz val="12.0"/>
      </rPr>
      <t>pantalla</t>
    </r>
  </si>
  <si>
    <r>
      <rPr>
        <rFont val="Arial"/>
        <color theme="1"/>
        <sz val="12.0"/>
      </rPr>
      <t>📱A52 / A52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(tipo c)</t>
    </r>
  </si>
  <si>
    <r>
      <rPr>
        <rFont val="Arial"/>
        <color theme="1"/>
        <sz val="12.0"/>
      </rPr>
      <t>📱MOTO G5 PLUS (comun)</t>
    </r>
    <r>
      <rPr>
        <rFont val="Arial"/>
        <b/>
        <color theme="1"/>
        <sz val="12.0"/>
      </rPr>
      <t xml:space="preserve"> pantalla</t>
    </r>
  </si>
  <si>
    <t>📱A53 (tipo c)</t>
  </si>
  <si>
    <r>
      <rPr>
        <rFont val="Arial"/>
        <color theme="1"/>
        <sz val="12.0"/>
      </rPr>
      <t>📱MOTO G5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PLUS (comun) </t>
    </r>
    <r>
      <rPr>
        <rFont val="Arial"/>
        <b/>
        <color theme="1"/>
        <sz val="12.0"/>
      </rPr>
      <t>pantalla</t>
    </r>
  </si>
  <si>
    <t>📱A54 (tipo c)</t>
  </si>
  <si>
    <t>📱MOTO G6 (tipo c)</t>
  </si>
  <si>
    <t>📱A70 (tipo c)</t>
  </si>
  <si>
    <t>📱MOTO G6 PLUS (tipo c)</t>
  </si>
  <si>
    <t>📱A71 (tipo c)</t>
  </si>
  <si>
    <t>📱MOTO G6 PLAY (comun)</t>
  </si>
  <si>
    <t>📱A72 (tipo c)</t>
  </si>
  <si>
    <t>📱MOTO G7 (tipo c)</t>
  </si>
  <si>
    <t>📱A80 (Tipo c)</t>
  </si>
  <si>
    <t>📱MOTO G7 PLUS (tipo c)</t>
  </si>
  <si>
    <t>📱A90 (tipo c)</t>
  </si>
  <si>
    <t>📱MOTO G7 POWER (tipo c)</t>
  </si>
  <si>
    <r>
      <rPr>
        <rFont val="Arial"/>
        <color theme="1"/>
        <sz val="12.0"/>
      </rPr>
      <t xml:space="preserve">📱J1 ACE (comun) </t>
    </r>
    <r>
      <rPr>
        <rFont val="Arial"/>
        <b/>
        <color theme="1"/>
        <sz val="12.0"/>
      </rPr>
      <t>(pantalla)</t>
    </r>
  </si>
  <si>
    <t>📱MOTO G7 PLAY (tipo c)</t>
  </si>
  <si>
    <t>📱J2 (comun)</t>
  </si>
  <si>
    <t>📱MOTO G8 (tipo c)</t>
  </si>
  <si>
    <t>📱J2 CORE (comun)</t>
  </si>
  <si>
    <t>📱MOTO G8 PLAY (Tipo c)</t>
  </si>
  <si>
    <t>📱J2 PRIME (comun)</t>
  </si>
  <si>
    <t>📱MOTO G8 PLUS (tipo c)</t>
  </si>
  <si>
    <t>📱J2 PRO (comun)</t>
  </si>
  <si>
    <t>📱MOTO G8 POWER (tipo c)</t>
  </si>
  <si>
    <t>📱J3 2016 (comun)</t>
  </si>
  <si>
    <t>📱MOTO G8 POWER LITE (tipo c)</t>
  </si>
  <si>
    <t>📱J4 2018 (comun)</t>
  </si>
  <si>
    <t>📱MOTO G9 (tipo c)</t>
  </si>
  <si>
    <r>
      <rPr>
        <rFont val="Arial"/>
        <color theme="1"/>
        <sz val="12.0"/>
      </rPr>
      <t xml:space="preserve">📱J4 PLUS (comun) </t>
    </r>
    <r>
      <rPr>
        <rFont val="Arial"/>
        <b/>
        <color theme="1"/>
        <sz val="12.0"/>
      </rPr>
      <t>pantalla</t>
    </r>
  </si>
  <si>
    <t>📱MOTO G9 POWER (tipo c)</t>
  </si>
  <si>
    <r>
      <rPr>
        <rFont val="Arial"/>
        <color theme="1"/>
        <sz val="12.0"/>
      </rPr>
      <t xml:space="preserve">📱J4 CORE (comun) </t>
    </r>
    <r>
      <rPr>
        <rFont val="Arial"/>
        <b/>
        <color theme="1"/>
        <sz val="12.0"/>
      </rPr>
      <t>pantalla</t>
    </r>
  </si>
  <si>
    <t>📱MOTO G9 PLUS / G9 POWER (tipo c)</t>
  </si>
  <si>
    <t>📱J5 2015 (comun)</t>
  </si>
  <si>
    <t>📱MOTO G9 PLAY (tipo c)</t>
  </si>
  <si>
    <t>📱J5 2016 (comun)</t>
  </si>
  <si>
    <t>📱MOTO G10 (tipo c)</t>
  </si>
  <si>
    <r>
      <rPr>
        <rFont val="Arial"/>
        <color theme="1"/>
        <sz val="12.0"/>
      </rPr>
      <t xml:space="preserve">📱J5 PRO (comun) </t>
    </r>
    <r>
      <rPr>
        <rFont val="Arial"/>
        <b/>
        <color theme="1"/>
        <sz val="12.0"/>
      </rPr>
      <t>(pantalla)</t>
    </r>
  </si>
  <si>
    <t>📱MOTO G10 PLAY (tipo c)</t>
  </si>
  <si>
    <r>
      <rPr>
        <rFont val="Arial"/>
        <color theme="1"/>
        <sz val="12.0"/>
      </rPr>
      <t xml:space="preserve">📱J5 PRIME (comun) </t>
    </r>
    <r>
      <rPr>
        <rFont val="Arial"/>
        <b/>
        <color theme="1"/>
        <sz val="12.0"/>
      </rPr>
      <t>pantalla</t>
    </r>
  </si>
  <si>
    <t>📱MOTO G13 (tipo c)</t>
  </si>
  <si>
    <r>
      <rPr>
        <rFont val="Arial"/>
        <color theme="1"/>
        <sz val="12.0"/>
      </rPr>
      <t xml:space="preserve">📱J6 (comun) </t>
    </r>
    <r>
      <rPr>
        <rFont val="Arial"/>
        <b/>
        <color theme="1"/>
        <sz val="12.0"/>
      </rPr>
      <t>pantalla</t>
    </r>
  </si>
  <si>
    <t>📱MOTO G20 (tipo c)</t>
  </si>
  <si>
    <r>
      <rPr>
        <rFont val="Arial"/>
        <color theme="1"/>
        <sz val="12.0"/>
      </rPr>
      <t xml:space="preserve">📱J6 PLUS (comun) </t>
    </r>
    <r>
      <rPr>
        <rFont val="Arial"/>
        <b/>
        <color theme="1"/>
        <sz val="12.0"/>
      </rPr>
      <t>pantalla</t>
    </r>
  </si>
  <si>
    <t>📱MOTO G22 (tipo c)</t>
  </si>
  <si>
    <t>📱J7 2015 (comun)</t>
  </si>
  <si>
    <t>📱MOTO G23 (tipo c)</t>
  </si>
  <si>
    <t>📱J7 NEO (comun)</t>
  </si>
  <si>
    <t>📱MOTO G30 (tipo c)</t>
  </si>
  <si>
    <t>📱J7 2016 (comun)</t>
  </si>
  <si>
    <t>📱MOTO G31 (tipo c)</t>
  </si>
  <si>
    <r>
      <rPr>
        <rFont val="Arial"/>
        <color theme="1"/>
        <sz val="12.0"/>
      </rPr>
      <t xml:space="preserve">📱J7 PRIME (comun) </t>
    </r>
    <r>
      <rPr>
        <rFont val="Arial"/>
        <b/>
        <color theme="1"/>
        <sz val="12.0"/>
      </rPr>
      <t>pantalla</t>
    </r>
  </si>
  <si>
    <t>📱MOTO G32 (tipo c)</t>
  </si>
  <si>
    <r>
      <rPr>
        <rFont val="Arial"/>
        <color theme="1"/>
        <sz val="12.0"/>
      </rPr>
      <t xml:space="preserve">📱J7 PRO (comun) </t>
    </r>
    <r>
      <rPr>
        <rFont val="Arial"/>
        <b/>
        <color theme="1"/>
        <sz val="12.0"/>
      </rPr>
      <t>pantalla</t>
    </r>
  </si>
  <si>
    <t>📱MOTO G40 (tipo c)</t>
  </si>
  <si>
    <t>📱J720 / J7PLUS (comun)</t>
  </si>
  <si>
    <t>📱MOTO G41 (tipo c)</t>
  </si>
  <si>
    <r>
      <rPr>
        <rFont val="Arial"/>
        <color theme="1"/>
        <sz val="12.0"/>
      </rPr>
      <t xml:space="preserve">📱J8 (comun) </t>
    </r>
    <r>
      <rPr>
        <rFont val="Arial"/>
        <b/>
        <color theme="1"/>
        <sz val="12.0"/>
      </rPr>
      <t>pantalla</t>
    </r>
  </si>
  <si>
    <t>📱MOTO G42 (tipo c)</t>
  </si>
  <si>
    <t>📱S6 / S6 flat (comun)</t>
  </si>
  <si>
    <t>📱MOTO G50 (tipo c)</t>
  </si>
  <si>
    <t>📱S7 EDGE (comun)</t>
  </si>
  <si>
    <t>📱MOTO G51 (tipo c)</t>
  </si>
  <si>
    <t>📱S8 (tipo c)</t>
  </si>
  <si>
    <t>📱MOTO G52 (tipo c)</t>
  </si>
  <si>
    <t>📱S8 PLUS (tipo c)</t>
  </si>
  <si>
    <t>📱MOTO G60 (tipo c)</t>
  </si>
  <si>
    <t>📱S9 (tipo c)</t>
  </si>
  <si>
    <r>
      <rPr>
        <rFont val="Arial"/>
        <color theme="1"/>
        <sz val="12.0"/>
      </rPr>
      <t>📱MOTO G60</t>
    </r>
    <r>
      <rPr>
        <rFont val="Arial"/>
        <b/>
        <color theme="1"/>
        <sz val="12.0"/>
      </rPr>
      <t xml:space="preserve">S </t>
    </r>
    <r>
      <rPr>
        <rFont val="Arial"/>
        <color theme="1"/>
        <sz val="12.0"/>
      </rPr>
      <t>(tipo c)</t>
    </r>
  </si>
  <si>
    <t>📱S9 PLUS (tipo c)</t>
  </si>
  <si>
    <t>📱MOTO G100 (tipo c)</t>
  </si>
  <si>
    <t>📱S10 (tipo c)</t>
  </si>
  <si>
    <t>📱MOTO G200 (tipo c)</t>
  </si>
  <si>
    <t>📱S10 PLUS (tipo c)</t>
  </si>
  <si>
    <t>📱MOTO M (comun)</t>
  </si>
  <si>
    <t>📱S10 E (tipo c)</t>
  </si>
  <si>
    <t>📱MOTO EDGE (Tipo c)</t>
  </si>
  <si>
    <t>📱S20 (tipo c)</t>
  </si>
  <si>
    <t>📱MOTO EDGE 20 LITE (tipo c)</t>
  </si>
  <si>
    <t>📱MOTO EDGE 20 PRO (tipo c)</t>
  </si>
  <si>
    <t xml:space="preserve">📱S20 FE </t>
  </si>
  <si>
    <t>📱MOTO EDGE 30 (tipo c)</t>
  </si>
  <si>
    <t xml:space="preserve">📱S21 </t>
  </si>
  <si>
    <t>📱MOTO ONE (Tipo c)</t>
  </si>
  <si>
    <t xml:space="preserve">📱S21 FE </t>
  </si>
  <si>
    <t>📱S21 plus</t>
  </si>
  <si>
    <t>📱MOTO ONE VISION (tipo c)</t>
  </si>
  <si>
    <t>📱S21 ultra</t>
  </si>
  <si>
    <t>📱MOTO ONE ACTION (tipo c)</t>
  </si>
  <si>
    <t>📱S22</t>
  </si>
  <si>
    <t>📱MOTO ONE HYPER (tipo c)</t>
  </si>
  <si>
    <t>📱S22 PLUS</t>
  </si>
  <si>
    <t>📱MOTO ONE MACRO (tipo c)</t>
  </si>
  <si>
    <t>📱S22 FE</t>
  </si>
  <si>
    <t>📱S22 ULTRA</t>
  </si>
  <si>
    <t>📱S23</t>
  </si>
  <si>
    <t>📱S23 ULTRA</t>
  </si>
  <si>
    <t>📱MOTO ONE FUSION (tipo c)</t>
  </si>
  <si>
    <t>📱MOTO ONE FUSION PLUS (tipo c)</t>
  </si>
  <si>
    <r>
      <rPr>
        <rFont val="Arial"/>
        <color theme="1"/>
        <sz val="12.0"/>
      </rPr>
      <t xml:space="preserve">📱MOTO ONE ZOOM (tipo c) </t>
    </r>
    <r>
      <rPr>
        <rFont val="Arial"/>
        <b/>
        <color theme="1"/>
        <sz val="12.0"/>
      </rPr>
      <t>pantalla</t>
    </r>
  </si>
  <si>
    <t>📱MOTO X (comun)</t>
  </si>
  <si>
    <t>📱MOTO X PLAY (comun)</t>
  </si>
  <si>
    <t>📱MOTO X STYLE (comun)</t>
  </si>
  <si>
    <t>📱MOTO X2 (comun)</t>
  </si>
  <si>
    <r>
      <rPr>
        <rFont val="Arial"/>
        <color theme="1"/>
        <sz val="12.0"/>
      </rPr>
      <t xml:space="preserve">📱MOTO Z PLAY (tipo c) </t>
    </r>
    <r>
      <rPr>
        <rFont val="Arial"/>
        <b/>
        <color theme="1"/>
        <sz val="12.0"/>
      </rPr>
      <t>pantalla</t>
    </r>
  </si>
  <si>
    <r>
      <rPr>
        <rFont val="Arial"/>
        <color theme="1"/>
        <sz val="12.0"/>
      </rPr>
      <t xml:space="preserve">📱MOTO Z2 PLAY (tipo c) </t>
    </r>
    <r>
      <rPr>
        <rFont val="Arial"/>
        <b/>
        <color theme="1"/>
        <sz val="12.0"/>
      </rPr>
      <t>pantalla</t>
    </r>
  </si>
  <si>
    <r>
      <rPr>
        <rFont val="Arial"/>
        <color theme="1"/>
        <sz val="12.0"/>
      </rPr>
      <t xml:space="preserve">📱MOTO Z3 PLAY (tipo c) </t>
    </r>
    <r>
      <rPr>
        <rFont val="Arial"/>
        <b/>
        <color theme="1"/>
        <sz val="12.0"/>
      </rPr>
      <t>pantalla</t>
    </r>
  </si>
  <si>
    <t>LISTA DE PRECIOS BATERIAS</t>
  </si>
  <si>
    <t xml:space="preserve">ACTUALIZADA: 02/09/24 </t>
  </si>
  <si>
    <t>PRECIO LISTA</t>
  </si>
  <si>
    <t xml:space="preserve">🕸️SAM A01 </t>
  </si>
  <si>
    <t xml:space="preserve">🕸️SAM A01 CORE </t>
  </si>
  <si>
    <r>
      <rPr>
        <rFont val="Arial"/>
        <b/>
        <color theme="1"/>
        <sz val="12.0"/>
      </rPr>
      <t xml:space="preserve">🕸️SAM A02 </t>
    </r>
    <r>
      <rPr>
        <rFont val="Arial"/>
        <b val="0"/>
        <color theme="1"/>
        <sz val="12.0"/>
      </rPr>
      <t>(A12/M12/A21S/A04S)</t>
    </r>
  </si>
  <si>
    <r>
      <rPr>
        <rFont val="Arial"/>
        <b/>
        <color theme="1"/>
        <sz val="12.0"/>
      </rPr>
      <t xml:space="preserve">🕸️SAM A02S </t>
    </r>
    <r>
      <rPr>
        <rFont val="Arial"/>
        <b val="0"/>
        <color theme="1"/>
        <sz val="12.0"/>
      </rPr>
      <t>(A03/A03S/A03 CORE/A04/A04E/A14 4G)</t>
    </r>
  </si>
  <si>
    <t>🕸️SAM A03</t>
  </si>
  <si>
    <t>🕸️SAM A03s</t>
  </si>
  <si>
    <t>🕸️SAM A03 core</t>
  </si>
  <si>
    <r>
      <rPr>
        <rFont val="Arial"/>
        <b/>
        <color rgb="FF000000"/>
        <sz val="12.0"/>
      </rPr>
      <t>🕸️SAM A04/</t>
    </r>
    <r>
      <rPr>
        <rFont val="Arial"/>
        <b/>
        <color rgb="FF000000"/>
        <sz val="12.0"/>
      </rPr>
      <t>A04E/A04S</t>
    </r>
  </si>
  <si>
    <r>
      <rPr>
        <rFont val="Arial"/>
        <b/>
        <color theme="1"/>
        <sz val="12.0"/>
      </rPr>
      <t>🕸️SAM A7 2017</t>
    </r>
    <r>
      <rPr>
        <rFont val="Arial"/>
        <b val="0"/>
        <color theme="1"/>
        <sz val="12.0"/>
      </rPr>
      <t>(J7 PRO)</t>
    </r>
  </si>
  <si>
    <r>
      <rPr>
        <rFont val="Arial"/>
        <b/>
        <color theme="1"/>
        <sz val="12.0"/>
      </rPr>
      <t>🕸️SAM A7 2018</t>
    </r>
    <r>
      <rPr>
        <rFont val="Arial"/>
        <b val="0"/>
        <color theme="1"/>
        <sz val="12.0"/>
      </rPr>
      <t xml:space="preserve"> (A10 / M10)</t>
    </r>
  </si>
  <si>
    <r>
      <rPr>
        <rFont val="Arial"/>
        <b/>
        <color theme="1"/>
        <sz val="12.0"/>
      </rPr>
      <t>🕸️SAM A10</t>
    </r>
    <r>
      <rPr>
        <rFont val="Arial"/>
        <b/>
        <color theme="1"/>
        <sz val="12.0"/>
      </rPr>
      <t>/A10S</t>
    </r>
  </si>
  <si>
    <r>
      <rPr>
        <rFont val="Arial"/>
        <b/>
        <color theme="1"/>
        <sz val="12.0"/>
      </rPr>
      <t>🕸️SAM A11 (</t>
    </r>
    <r>
      <rPr>
        <rFont val="Arial"/>
        <b val="0"/>
        <color theme="1"/>
        <sz val="12.0"/>
      </rPr>
      <t>A10S/A20S)</t>
    </r>
  </si>
  <si>
    <r>
      <rPr>
        <rFont val="Arial"/>
        <b/>
        <color theme="1"/>
        <sz val="12.0"/>
      </rPr>
      <t xml:space="preserve">🕸️SAM A12/M12 </t>
    </r>
    <r>
      <rPr>
        <rFont val="Arial"/>
        <b val="0"/>
        <color theme="1"/>
        <sz val="12.0"/>
      </rPr>
      <t>(A02/A21S/A04S)</t>
    </r>
  </si>
  <si>
    <t>🕸️SAM A13 4G/5G</t>
  </si>
  <si>
    <t>🕸️SAM A14 4G/5G</t>
  </si>
  <si>
    <t xml:space="preserve">🕸️SAM A20/A30/A50 </t>
  </si>
  <si>
    <r>
      <rPr>
        <rFont val="Arial"/>
        <b/>
        <color theme="1"/>
        <sz val="12.0"/>
      </rPr>
      <t>🕸️SAM A20S</t>
    </r>
    <r>
      <rPr>
        <rFont val="Arial"/>
        <color theme="1"/>
        <sz val="12.0"/>
      </rPr>
      <t xml:space="preserve"> (A10S) </t>
    </r>
  </si>
  <si>
    <t xml:space="preserve">🕸️SAM A21s  </t>
  </si>
  <si>
    <r>
      <rPr>
        <rFont val="Arial"/>
        <b/>
        <color theme="1"/>
        <sz val="12.0"/>
      </rPr>
      <t>🕸️SAM A22</t>
    </r>
    <r>
      <rPr>
        <rFont val="Arial"/>
        <color theme="1"/>
        <sz val="12.0"/>
      </rPr>
      <t xml:space="preserve"> / A31/ A32 T</t>
    </r>
  </si>
  <si>
    <t>🕸️SAM A23</t>
  </si>
  <si>
    <r>
      <rPr>
        <rFont val="Arial"/>
        <color theme="1"/>
        <sz val="12.0"/>
      </rPr>
      <t>🕸️</t>
    </r>
    <r>
      <rPr>
        <rFont val="Arial"/>
        <b/>
        <color theme="1"/>
        <sz val="12.0"/>
      </rPr>
      <t>SAM A30</t>
    </r>
    <r>
      <rPr>
        <rFont val="Arial"/>
        <color theme="1"/>
        <sz val="12.0"/>
      </rPr>
      <t xml:space="preserve">/ A20 / A50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</si>
  <si>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A30s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</si>
  <si>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A31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</si>
  <si>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A32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</si>
  <si>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>🕸️SAM A50</t>
    </r>
    <r>
      <rPr>
        <rFont val="Arial"/>
        <color theme="1"/>
        <sz val="12.0"/>
      </rPr>
      <t xml:space="preserve"> / A20 / A30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</si>
  <si>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A51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</si>
  <si>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A52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</si>
  <si>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A52s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</si>
  <si>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A70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</si>
  <si>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A71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</si>
  <si>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A72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</si>
  <si>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 xml:space="preserve">🕸️SAM A73 </t>
    </r>
    <r>
      <rPr>
        <rFont val="Arial"/>
        <b/>
        <color theme="1"/>
        <sz val="12.0"/>
      </rPr>
      <t>T</t>
    </r>
  </si>
  <si>
    <t xml:space="preserve">🕸️SAM CORE </t>
  </si>
  <si>
    <t>🕸️SAM J100</t>
  </si>
  <si>
    <r>
      <rPr>
        <rFont val="Arial"/>
        <color theme="1"/>
        <sz val="12.0"/>
      </rPr>
      <t xml:space="preserve">🕸️SAM J1 ACE/S4 MINI </t>
    </r>
    <r>
      <rPr>
        <rFont val="Arial"/>
        <b/>
        <color theme="1"/>
        <sz val="12.0"/>
      </rPr>
      <t>P</t>
    </r>
  </si>
  <si>
    <t xml:space="preserve">🕸️SAM J2 PRIME/J2 CORE </t>
  </si>
  <si>
    <t>🕸️SAM J2 CORE/j2 prime</t>
  </si>
  <si>
    <t xml:space="preserve">🕸️SAM J2 /CORE PRIME </t>
  </si>
  <si>
    <t>🕸️SAM J4 /J7 2015 / J7 NEO</t>
  </si>
  <si>
    <r>
      <rPr>
        <rFont val="Arial"/>
        <color theme="1"/>
        <sz val="12.0"/>
      </rPr>
      <t xml:space="preserve">🕸️SAM J4 PLUS / J6+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</si>
  <si>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🕸️SAM J5 PRIME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</si>
  <si>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🕸️SAM J6 / J8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</si>
  <si>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🕸️SAM J6 PLUS / J4+ / J7+ </t>
    </r>
    <r>
      <rPr>
        <rFont val="Arial"/>
        <b/>
        <color theme="1"/>
        <sz val="12.0"/>
      </rPr>
      <t>P</t>
    </r>
  </si>
  <si>
    <t>🕸️SAM J7 2015 / J7 NEO / J4</t>
  </si>
  <si>
    <t xml:space="preserve">🕸️SAM J7 2016 </t>
  </si>
  <si>
    <r>
      <rPr>
        <rFont val="Arial"/>
        <color theme="1"/>
        <sz val="12.0"/>
      </rPr>
      <t xml:space="preserve">🕸️SAM J7 PLUS /J4 + /J6+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</si>
  <si>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🕸️SAM J7 prime </t>
    </r>
    <r>
      <rPr>
        <rFont val="Arial"/>
        <b/>
        <color theme="1"/>
        <sz val="12.0"/>
      </rPr>
      <t>P</t>
    </r>
  </si>
  <si>
    <t xml:space="preserve">🕸️SAM J7 PRO/A7 17 </t>
  </si>
  <si>
    <t>🕸️SAM J8 / A6+</t>
  </si>
  <si>
    <r>
      <rPr>
        <rFont val="Arial"/>
        <color theme="1"/>
        <sz val="12.0"/>
      </rPr>
      <t xml:space="preserve">🕸️SAM S6 FLAT </t>
    </r>
    <r>
      <rPr>
        <rFont val="Arial"/>
        <b/>
        <color theme="1"/>
        <sz val="12.0"/>
      </rPr>
      <t>T</t>
    </r>
  </si>
  <si>
    <t xml:space="preserve">🕸️SAM S6 EDGE </t>
  </si>
  <si>
    <r>
      <rPr>
        <rFont val="Arial"/>
        <color theme="1"/>
        <sz val="12.0"/>
      </rPr>
      <t xml:space="preserve">🕸️SAM S6 EDGE PLUS </t>
    </r>
    <r>
      <rPr>
        <rFont val="Arial"/>
        <b/>
        <color theme="1"/>
        <sz val="12.0"/>
      </rPr>
      <t>T</t>
    </r>
  </si>
  <si>
    <t>🕸️SAM S7</t>
  </si>
  <si>
    <t>🕸️SAM S7 ORIGINAL SAMSUNG</t>
  </si>
  <si>
    <r>
      <rPr>
        <rFont val="Arial"/>
        <color theme="1"/>
        <sz val="12.0"/>
      </rPr>
      <t xml:space="preserve">🕸️SAM S7 EDGE </t>
    </r>
    <r>
      <rPr>
        <rFont val="Arial"/>
        <b/>
        <color theme="1"/>
        <sz val="12.0"/>
      </rPr>
      <t>T</t>
    </r>
  </si>
  <si>
    <t>🕸️SAM S7 EDGE ORIGINAL SAMSUNG</t>
  </si>
  <si>
    <r>
      <rPr>
        <rFont val="Arial"/>
        <color theme="1"/>
        <sz val="12.0"/>
      </rPr>
      <t xml:space="preserve">🕸️SAM S8 </t>
    </r>
    <r>
      <rPr>
        <rFont val="Arial"/>
        <b/>
        <color theme="1"/>
        <sz val="12.0"/>
      </rPr>
      <t>T</t>
    </r>
  </si>
  <si>
    <t xml:space="preserve">🕸️SAM S8 ORIGINAL DE SAMSUNG </t>
  </si>
  <si>
    <r>
      <rPr>
        <rFont val="Arial"/>
        <color theme="1"/>
        <sz val="12.0"/>
      </rPr>
      <t xml:space="preserve">🕸️SAM S8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</si>
  <si>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🕸️SAM S8 PLUS </t>
    </r>
    <r>
      <rPr>
        <rFont val="Arial"/>
        <b/>
        <color theme="1"/>
        <sz val="12.0"/>
      </rPr>
      <t>DE SAMSUNG</t>
    </r>
  </si>
  <si>
    <r>
      <rPr>
        <rFont val="Arial"/>
        <color theme="1"/>
        <sz val="12.0"/>
      </rPr>
      <t xml:space="preserve">🕸️SAM S9 </t>
    </r>
    <r>
      <rPr>
        <rFont val="Arial"/>
        <b/>
        <color theme="1"/>
        <sz val="12.0"/>
      </rPr>
      <t>T</t>
    </r>
  </si>
  <si>
    <t xml:space="preserve">🕸️SAM S9 ORIGINAL DE SAMSUNG </t>
  </si>
  <si>
    <t>🕸️SAM S9 PLUS</t>
  </si>
  <si>
    <r>
      <rPr>
        <rFont val="Arial"/>
        <color theme="1"/>
        <sz val="12.0"/>
      </rPr>
      <t xml:space="preserve">🕸️SAM S9 PLUS </t>
    </r>
    <r>
      <rPr>
        <rFont val="Arial"/>
        <b/>
        <color theme="1"/>
        <sz val="12.0"/>
      </rPr>
      <t>DE SAMSUNG</t>
    </r>
  </si>
  <si>
    <r>
      <rPr>
        <rFont val="Arial"/>
        <color theme="1"/>
        <sz val="12.0"/>
      </rPr>
      <t xml:space="preserve">🕸️SAM S10 </t>
    </r>
    <r>
      <rPr>
        <rFont val="Arial"/>
        <b/>
        <color theme="1"/>
        <sz val="12.0"/>
      </rPr>
      <t>T</t>
    </r>
  </si>
  <si>
    <t xml:space="preserve">🕸️SAM S10 ORIGINAL DE SAMSUNG </t>
  </si>
  <si>
    <r>
      <rPr>
        <rFont val="Arial"/>
        <color theme="1"/>
        <sz val="12.0"/>
      </rPr>
      <t xml:space="preserve">🕸️SAM S10 PLUS </t>
    </r>
    <r>
      <rPr>
        <rFont val="Arial"/>
        <b/>
        <color theme="1"/>
        <sz val="12.0"/>
      </rPr>
      <t>T</t>
    </r>
  </si>
  <si>
    <t xml:space="preserve">🕸️SAM S10 PLUS DE SAMSUNG </t>
  </si>
  <si>
    <t>🕸️SAM S20</t>
  </si>
  <si>
    <t xml:space="preserve">🕸️SAM S20 ORIGINAL DE SAMSUNG </t>
  </si>
  <si>
    <t>🕸️SAM S20 FE</t>
  </si>
  <si>
    <t xml:space="preserve">🕸️SAM S20 FE DE SAMSUNG </t>
  </si>
  <si>
    <t>🕸️SAM S20 PLUS</t>
  </si>
  <si>
    <t>🕸️SAM S20 PLUS SAMSUNG</t>
  </si>
  <si>
    <t>🕸️SAM S20 ULTRA</t>
  </si>
  <si>
    <t>🕸️SAM S20 ULTRA SAMSUNG</t>
  </si>
  <si>
    <t>🕸️SAM S21</t>
  </si>
  <si>
    <t>🕸️SAM S21 DE SAMSUNG</t>
  </si>
  <si>
    <t>🕸️SAM S21 PLUS</t>
  </si>
  <si>
    <t>🕸️SAM S21 PLUS SAMSUNG</t>
  </si>
  <si>
    <t>🕸️SAM S21 FE</t>
  </si>
  <si>
    <t>🕸️SAM S21 FE SAMSUNG</t>
  </si>
  <si>
    <t>🕸️SAM S21 ULTRA</t>
  </si>
  <si>
    <t>🕸️SAM S21 ULTRA SAMSUNG</t>
  </si>
  <si>
    <t>🕸️SAM S22</t>
  </si>
  <si>
    <t>🕸️SAM S22 SAMUNG</t>
  </si>
  <si>
    <t>🕸️SAM S22 PLUS</t>
  </si>
  <si>
    <t>🕸️SAM S22 PLUS SAMSUNG</t>
  </si>
  <si>
    <t>🕸️SAM S22 FE</t>
  </si>
  <si>
    <t>🕸️SAM S22 FE SAMSUNG</t>
  </si>
  <si>
    <t>🕸️SAM S22 ULTRA</t>
  </si>
  <si>
    <t>🕸️SAM S22 ULTRA SAMSUNG</t>
  </si>
  <si>
    <t>🕸️SAM S23</t>
  </si>
  <si>
    <t>🕸️SAM S23 SAMSUNG</t>
  </si>
  <si>
    <t>🕸️SAM S23 PLUS</t>
  </si>
  <si>
    <t>🕸️SAM S23 PLUS SAMSUNG</t>
  </si>
  <si>
    <t>🕸️SAM S23 FE</t>
  </si>
  <si>
    <t>🕸️SAM S23 FE SAMSUNG</t>
  </si>
  <si>
    <t>🕸️SAM S23 ULTRA</t>
  </si>
  <si>
    <t>🕸️SAM S23 ULTRA SAMSUNG</t>
  </si>
  <si>
    <r>
      <rPr>
        <rFont val="Arial"/>
        <color theme="1"/>
        <sz val="12.0"/>
      </rPr>
      <t xml:space="preserve">🕸️SAM NOTE 8 </t>
    </r>
    <r>
      <rPr>
        <rFont val="Arial"/>
        <b/>
        <color theme="1"/>
        <sz val="12.0"/>
      </rPr>
      <t>T</t>
    </r>
  </si>
  <si>
    <t>🕸️SAM NOTE 10 DE SAMSUNG</t>
  </si>
  <si>
    <t>🕸️SAM NOTE 10 PLUS DE SAMSUNG</t>
  </si>
  <si>
    <t>🕸️SAM NOTE 20 DE SAMSUNG</t>
  </si>
  <si>
    <t>🕸️SAM NOTE 20 PLUS DE SAMSUNG</t>
  </si>
  <si>
    <t>IPHONE</t>
  </si>
  <si>
    <t xml:space="preserve">🎋IP 5 </t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</si>
  <si>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5S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</si>
  <si>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5C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</si>
  <si>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5SE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</si>
  <si>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6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</si>
  <si>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6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</si>
  <si>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6S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</si>
  <si>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6S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</si>
  <si>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6 PLUS/ 6S PLUS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</si>
  <si>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6S PLUS/ 6S PLUS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</si>
  <si>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7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</si>
  <si>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7 </t>
    </r>
  </si>
  <si>
    <t>🎋IP 7 PLUS alternativa</t>
  </si>
  <si>
    <t xml:space="preserve">🎋IP 7 PLUS </t>
  </si>
  <si>
    <t>🎋IP 8 alternativa</t>
  </si>
  <si>
    <t>🎋IP 8</t>
  </si>
  <si>
    <t>🎋IP 8 PLUS alternativa</t>
  </si>
  <si>
    <t xml:space="preserve">🎋IP 8 PLUS </t>
  </si>
  <si>
    <r>
      <rPr>
        <rFont val="Arial"/>
        <color theme="1"/>
        <sz val="12.0"/>
      </rPr>
      <t>🎋IP</t>
    </r>
    <r>
      <rPr>
        <rFont val="Arial"/>
        <b/>
        <color theme="1"/>
        <sz val="12.0"/>
      </rPr>
      <t xml:space="preserve"> X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</si>
  <si>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X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</si>
  <si>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XS</t>
    </r>
    <r>
      <rPr>
        <rFont val="Arial"/>
        <color theme="1"/>
        <sz val="12.0"/>
      </rPr>
      <t xml:space="preserve"> alternativa</t>
    </r>
  </si>
  <si>
    <t>🎋IP XS</t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</si>
  <si>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XS MAX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</si>
  <si>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XS MAX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</si>
  <si>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XR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</si>
  <si>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XR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</si>
  <si>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</si>
  <si>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</si>
  <si>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</t>
    </r>
    <r>
      <rPr>
        <rFont val="Arial"/>
        <color theme="1"/>
        <sz val="12.0"/>
      </rPr>
      <t xml:space="preserve"> 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</si>
  <si>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11 PRO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</si>
  <si>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11 PRO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</si>
  <si>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11 PRO </t>
    </r>
    <r>
      <rPr>
        <rFont val="Arial"/>
        <color theme="1"/>
        <sz val="12.0"/>
      </rPr>
      <t>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</si>
  <si>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 PRO MAX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</si>
  <si>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 PRO MAX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</si>
  <si>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11 PRO MAX</t>
    </r>
    <r>
      <rPr>
        <rFont val="Arial"/>
        <color theme="1"/>
        <sz val="12.0"/>
      </rPr>
      <t xml:space="preserve"> 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</si>
  <si>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12 </t>
    </r>
    <r>
      <rPr>
        <rFont val="Arial"/>
        <color theme="1"/>
        <sz val="12.0"/>
      </rPr>
      <t>alternativa (mp)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</si>
  <si>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12 </t>
    </r>
    <r>
      <rPr>
        <rFont val="Arial"/>
        <color theme="1"/>
        <sz val="12.0"/>
      </rPr>
      <t>alternativa (byte)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</si>
  <si>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</t>
    </r>
    <r>
      <rPr>
        <rFont val="Arial"/>
        <color theme="1"/>
        <sz val="12.0"/>
      </rPr>
      <t xml:space="preserve"> (byte) AMPSENTRIX 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</si>
  <si>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 PRO</t>
    </r>
    <r>
      <rPr>
        <rFont val="Arial"/>
        <color theme="1"/>
        <sz val="12.0"/>
      </rPr>
      <t xml:space="preserve"> alternativa (mp)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</si>
  <si>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 PRO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</si>
  <si>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 PRO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</si>
  <si>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 PRO MAX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</si>
  <si>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12 PRO MAX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</si>
  <si>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12 PRO MAX </t>
    </r>
    <r>
      <rPr>
        <rFont val="Arial"/>
        <color theme="1"/>
        <sz val="12.0"/>
      </rPr>
      <t>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</si>
  <si>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12 MINI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</si>
  <si>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13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</si>
  <si>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13</t>
    </r>
    <r>
      <rPr>
        <rFont val="Arial"/>
        <color theme="1"/>
        <sz val="12.0"/>
      </rPr>
      <t xml:space="preserve">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</si>
  <si>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13</t>
    </r>
    <r>
      <rPr>
        <rFont val="Arial"/>
        <color theme="1"/>
        <sz val="12.0"/>
      </rPr>
      <t xml:space="preserve"> (s/msj)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</si>
  <si>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13 PRO </t>
    </r>
    <r>
      <rPr>
        <rFont val="Arial"/>
        <color theme="1"/>
        <sz val="12.0"/>
      </rPr>
      <t>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</si>
  <si>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13 PRO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</si>
  <si>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13 PRO MAX alternativa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</si>
  <si>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 xml:space="preserve">13 PRO MAX </t>
    </r>
  </si>
  <si>
    <r>
      <rPr>
        <rFont val="Arial"/>
        <color theme="1"/>
        <sz val="12.0"/>
      </rPr>
      <t xml:space="preserve">🎋IP </t>
    </r>
    <r>
      <rPr>
        <rFont val="Arial"/>
        <b/>
        <color theme="1"/>
        <sz val="12.0"/>
      </rPr>
      <t>13 mini</t>
    </r>
  </si>
  <si>
    <t>🎋IP SE 2020</t>
  </si>
  <si>
    <t xml:space="preserve">🍄MOTO C </t>
  </si>
  <si>
    <t xml:space="preserve">🍄MOTO C PLUS </t>
  </si>
  <si>
    <r>
      <rPr>
        <rFont val="Arial"/>
        <color theme="1"/>
        <sz val="12.0"/>
      </rPr>
      <t xml:space="preserve">🍄MOTO E2 </t>
    </r>
    <r>
      <rPr>
        <rFont val="Arial"/>
        <b/>
        <color theme="1"/>
        <sz val="12.0"/>
      </rPr>
      <t>P</t>
    </r>
  </si>
  <si>
    <t xml:space="preserve">🍄MOTO E4 </t>
  </si>
  <si>
    <r>
      <rPr>
        <rFont val="Arial"/>
        <color theme="1"/>
        <sz val="12.0"/>
      </rPr>
      <t xml:space="preserve">🍄MOTO E4 PLUS/ E5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</si>
  <si>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E5/G6 PLAY </t>
    </r>
    <r>
      <rPr>
        <rFont val="Arial"/>
        <b/>
        <color theme="1"/>
        <sz val="12.0"/>
      </rPr>
      <t>T</t>
    </r>
  </si>
  <si>
    <r>
      <rPr>
        <rFont val="Arial"/>
        <b/>
        <color theme="1"/>
        <sz val="12.0"/>
      </rPr>
      <t>🍄</t>
    </r>
    <r>
      <rPr>
        <rFont val="Arial"/>
        <b val="0"/>
        <color theme="1"/>
        <sz val="12.0"/>
      </rPr>
      <t xml:space="preserve">MOTO E5 PLAY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</si>
  <si>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E6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</si>
  <si>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E6 PLAY/E6S/E6i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</si>
  <si>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E6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</si>
  <si>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E6S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</si>
  <si>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E7 </t>
    </r>
    <r>
      <rPr>
        <rFont val="Arial"/>
        <b/>
        <color theme="1"/>
        <sz val="12.0"/>
      </rPr>
      <t>T</t>
    </r>
  </si>
  <si>
    <r>
      <rPr>
        <rFont val="Arial"/>
        <color theme="1"/>
        <sz val="11.0"/>
      </rPr>
      <t xml:space="preserve">🍄MOTO E7 PLUS </t>
    </r>
    <r>
      <rPr>
        <rFont val="Arial"/>
        <b/>
        <color theme="1"/>
        <sz val="11.0"/>
      </rPr>
      <t>T</t>
    </r>
  </si>
  <si>
    <t>🍄MOTO E7 POWER</t>
  </si>
  <si>
    <t>🍄MOTO E7I POWER</t>
  </si>
  <si>
    <r>
      <rPr>
        <rFont val="Arial"/>
        <color theme="1"/>
        <sz val="12.0"/>
      </rPr>
      <t>🍄MOTO E20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</si>
  <si>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E32 </t>
    </r>
    <r>
      <rPr>
        <rFont val="Arial"/>
        <b/>
        <color theme="1"/>
        <sz val="12.0"/>
      </rPr>
      <t>T</t>
    </r>
  </si>
  <si>
    <t xml:space="preserve">🍄MOTO G </t>
  </si>
  <si>
    <r>
      <rPr>
        <rFont val="Arial"/>
        <color theme="1"/>
        <sz val="12.0"/>
      </rPr>
      <t xml:space="preserve">🍄MOTO G2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</si>
  <si>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G3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</si>
  <si>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G4/G4+ </t>
    </r>
    <r>
      <rPr>
        <rFont val="Arial"/>
        <b/>
        <color theme="1"/>
        <sz val="12.0"/>
      </rPr>
      <t>T</t>
    </r>
  </si>
  <si>
    <t>🍄MOTO G4 PLAY</t>
  </si>
  <si>
    <t>🍄MOTO G5</t>
  </si>
  <si>
    <r>
      <rPr>
        <rFont val="Arial"/>
        <color theme="1"/>
        <sz val="12.0"/>
      </rPr>
      <t xml:space="preserve">🍄MOTO G5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</si>
  <si>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G5S/G5S PLUS/G6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</si>
  <si>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G6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</si>
  <si>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G6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</si>
  <si>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G7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</si>
  <si>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G7 PLUS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</si>
  <si>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G7 PLAY/ONE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</si>
  <si>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G7 POWER/ONE FU/ONE POW </t>
    </r>
    <r>
      <rPr>
        <rFont val="Arial"/>
        <b/>
        <color theme="1"/>
        <sz val="12.0"/>
      </rPr>
      <t xml:space="preserve">T </t>
    </r>
  </si>
  <si>
    <r>
      <rPr>
        <rFont val="Arial"/>
        <color theme="1"/>
        <sz val="12.0"/>
      </rPr>
      <t xml:space="preserve">🍄MOTO G8/ ONE AC/ONE VIS </t>
    </r>
    <r>
      <rPr>
        <rFont val="Arial"/>
        <b/>
        <color theme="1"/>
        <sz val="12.0"/>
      </rPr>
      <t>T</t>
    </r>
  </si>
  <si>
    <t xml:space="preserve">🍄MOTO G8 PLUS </t>
  </si>
  <si>
    <r>
      <rPr>
        <rFont val="Arial"/>
        <color theme="1"/>
        <sz val="12.0"/>
      </rPr>
      <t xml:space="preserve">🍄MOTO G8 PLAY/ONE MA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</si>
  <si>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G8 POWER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</si>
  <si>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G8 POWER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</si>
  <si>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G9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</si>
  <si>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G9 PLUS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</si>
  <si>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G9 POWER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</si>
  <si>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G9 PLAY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</si>
  <si>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G10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</si>
  <si>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G20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</si>
  <si>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G22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</si>
  <si>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G30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</si>
  <si>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G50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</si>
  <si>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G51 </t>
    </r>
    <r>
      <rPr>
        <rFont val="Arial"/>
        <b/>
        <color theme="1"/>
        <sz val="12.0"/>
      </rPr>
      <t>T</t>
    </r>
  </si>
  <si>
    <t>Original $60000</t>
  </si>
  <si>
    <r>
      <rPr>
        <rFont val="Arial"/>
        <color theme="1"/>
        <sz val="12.0"/>
      </rPr>
      <t xml:space="preserve">🍄MOTO G60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</si>
  <si>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G71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</si>
  <si>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G100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</si>
  <si>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X2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</si>
  <si>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X STYLE (FX30)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</si>
  <si>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>🍄MOTO X PLAY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</si>
  <si>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Z PLAY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</si>
  <si>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Z2 PLAY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</si>
  <si>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Z3 PLAY (JS40) </t>
    </r>
    <r>
      <rPr>
        <rFont val="Arial"/>
        <b/>
        <color theme="1"/>
        <sz val="12.0"/>
      </rPr>
      <t>P</t>
    </r>
  </si>
  <si>
    <r>
      <rPr>
        <rFont val="Arial"/>
        <color theme="1"/>
        <sz val="12.0"/>
      </rPr>
      <t xml:space="preserve">🍄MOTO ONE HYPER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</si>
  <si>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ONE FUSION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</si>
  <si>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ONE POWER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</si>
  <si>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ONE ACTION/VISION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</si>
  <si>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ONE MACRO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</si>
  <si>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🍄MOTO ONE ZOOM </t>
    </r>
    <r>
      <rPr>
        <rFont val="Arial"/>
        <b/>
        <color theme="1"/>
        <sz val="12.0"/>
      </rPr>
      <t>T</t>
    </r>
  </si>
  <si>
    <t xml:space="preserve">🍄MOTO EDGE </t>
  </si>
  <si>
    <t>🍄MOTO EDGE 20 LITE</t>
  </si>
  <si>
    <t>LG</t>
  </si>
  <si>
    <t xml:space="preserve">🪶LG LEON </t>
  </si>
  <si>
    <t xml:space="preserve">🪶LG K4 </t>
  </si>
  <si>
    <t>🪶LG K4 2017/K8 2017/K9</t>
  </si>
  <si>
    <t xml:space="preserve">🪶LG K8 2016 </t>
  </si>
  <si>
    <t>🪶LG K8 2017/ K9/ K4 2017</t>
  </si>
  <si>
    <t>🪶LG K9 / K4 2017 / K8 2017</t>
  </si>
  <si>
    <t xml:space="preserve">🪶LG K10 2016 </t>
  </si>
  <si>
    <t xml:space="preserve">🪶LG K10 2017 </t>
  </si>
  <si>
    <t>🪶LG K11 / K11 PLUS</t>
  </si>
  <si>
    <r>
      <rPr>
        <rFont val="Arial"/>
        <color theme="1"/>
        <sz val="12.0"/>
      </rPr>
      <t xml:space="preserve">🪶LG K20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</si>
  <si>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K22/K22+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</si>
  <si>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K40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</si>
  <si>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K40S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</si>
  <si>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>🪶LG K41</t>
    </r>
    <r>
      <rPr>
        <rFont val="Arial"/>
        <b/>
        <color theme="1"/>
        <sz val="12.0"/>
      </rPr>
      <t>S T</t>
    </r>
  </si>
  <si>
    <r>
      <rPr>
        <rFont val="Arial"/>
        <color theme="1"/>
        <sz val="12.0"/>
      </rPr>
      <t xml:space="preserve">🪶LG K42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</si>
  <si>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K50/Q60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</si>
  <si>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K50s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</si>
  <si>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K51s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</si>
  <si>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K52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</si>
  <si>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>🪶LG K52</t>
    </r>
    <r>
      <rPr>
        <rFont val="Arial"/>
        <b/>
        <color theme="1"/>
        <sz val="12.0"/>
      </rPr>
      <t>S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</si>
  <si>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K61 </t>
    </r>
    <r>
      <rPr>
        <rFont val="Arial"/>
        <b/>
        <color theme="1"/>
        <sz val="12.0"/>
      </rPr>
      <t>T</t>
    </r>
  </si>
  <si>
    <t>🪶LG K62</t>
  </si>
  <si>
    <t>🪶LG K62+</t>
  </si>
  <si>
    <r>
      <rPr>
        <rFont val="Arial"/>
        <color theme="1"/>
        <sz val="12.0"/>
      </rPr>
      <t xml:space="preserve">🪶LG Q6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</si>
  <si>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🪶LG G5 </t>
    </r>
    <r>
      <rPr>
        <rFont val="Arial"/>
        <b/>
        <color theme="1"/>
        <sz val="12.0"/>
      </rPr>
      <t>T</t>
    </r>
  </si>
  <si>
    <t xml:space="preserve">🪶LG G7 </t>
  </si>
  <si>
    <t>XIAOMI</t>
  </si>
  <si>
    <r>
      <rPr>
        <rFont val="Arial"/>
        <color theme="1"/>
        <sz val="12.0"/>
      </rPr>
      <t xml:space="preserve">🪵XIA MI 4X (BM47)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</si>
  <si>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A1 / NOTE 5A/ S2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</si>
  <si>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A2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</si>
  <si>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A2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</si>
  <si>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6 (BM39)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</si>
  <si>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8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</si>
  <si>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9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</si>
  <si>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MI 9 SE </t>
    </r>
    <r>
      <rPr>
        <rFont val="Arial"/>
        <b/>
        <color theme="1"/>
        <sz val="12.0"/>
      </rPr>
      <t>T</t>
    </r>
  </si>
  <si>
    <t>🪵XIA MI 9T</t>
  </si>
  <si>
    <t>🪵XIA MI 9T PRO</t>
  </si>
  <si>
    <t>🪵XIA MI 10 LITE / MI NOTE 10</t>
  </si>
  <si>
    <r>
      <rPr>
        <rFont val="Arial"/>
        <color theme="1"/>
        <sz val="12.0"/>
      </rPr>
      <t xml:space="preserve">🪵XIA NOTE 4X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</si>
  <si>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NOTE 5 / NOTE 5 PRO </t>
    </r>
    <r>
      <rPr>
        <rFont val="Arial"/>
        <b/>
        <color theme="1"/>
        <sz val="12.0"/>
      </rPr>
      <t>T</t>
    </r>
  </si>
  <si>
    <t xml:space="preserve">🪵XIA NOTE 6 /REDMI 7 /NOTE 8 </t>
  </si>
  <si>
    <r>
      <rPr>
        <rFont val="Arial"/>
        <color theme="1"/>
        <sz val="12.0"/>
      </rPr>
      <t xml:space="preserve">🪵XIA NOTE 6 PRO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</si>
  <si>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NOTE 7/ 7 PRO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</si>
  <si>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🪵XIA NOTE 8 / NOTE 6 /REDMI 7 </t>
    </r>
    <r>
      <rPr>
        <rFont val="Arial"/>
        <b/>
        <color theme="1"/>
        <sz val="12.0"/>
      </rPr>
      <t>T</t>
    </r>
  </si>
  <si>
    <t>🪵XIA NOTE 8 PRO</t>
  </si>
  <si>
    <t>🪵XIA NOTE 9S / NOTE 9 PRO</t>
  </si>
  <si>
    <t>🪵XIA NOTE 10 4G / NOTE 10S</t>
  </si>
  <si>
    <t>🪵XIA REDMI 6 / 6A</t>
  </si>
  <si>
    <t>🪵XIA REDMI 7A</t>
  </si>
  <si>
    <t>🪵XIA REDMI 8 / 8A</t>
  </si>
  <si>
    <t>🪵XIA REDMI 9</t>
  </si>
  <si>
    <t>🪵XIA REDMI 9A / 9C / M2 PRO</t>
  </si>
  <si>
    <t>🪵XIA REDMI 9T / POCO M3</t>
  </si>
  <si>
    <t>🪵XIA REDMI 10 / NOTE 10 5G</t>
  </si>
  <si>
    <t>HUAWEI</t>
  </si>
  <si>
    <r>
      <rPr>
        <rFont val="Arial"/>
        <color theme="1"/>
        <sz val="12.0"/>
      </rPr>
      <t xml:space="preserve">💧HUA MATE 9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</si>
  <si>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MATE 9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</si>
  <si>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MATE 10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</si>
  <si>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MATE 10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</si>
  <si>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MATE 20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</si>
  <si>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P8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</si>
  <si>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P9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</si>
  <si>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P9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</si>
  <si>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P10 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</si>
  <si>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P10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</si>
  <si>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P20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</si>
  <si>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P20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</si>
  <si>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P30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</si>
  <si>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P30 LITE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</si>
  <si>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P SMART 2019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</si>
  <si>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Y6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</si>
  <si>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Y6 II/G8 </t>
    </r>
    <r>
      <rPr>
        <rFont val="Arial"/>
        <b/>
        <color theme="1"/>
        <sz val="12.0"/>
      </rPr>
      <t>T</t>
    </r>
  </si>
  <si>
    <t xml:space="preserve">💧HUA Y7 2017/Y7 2019 </t>
  </si>
  <si>
    <r>
      <rPr>
        <rFont val="Arial"/>
        <color theme="1"/>
        <sz val="12.0"/>
      </rPr>
      <t xml:space="preserve">💧HUA Y7 PRIME 2017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</si>
  <si>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Y7 PRIME 2018 </t>
    </r>
    <r>
      <rPr>
        <rFont val="Arial"/>
        <b/>
        <color theme="1"/>
        <sz val="12.0"/>
      </rPr>
      <t>T</t>
    </r>
  </si>
  <si>
    <r>
      <rPr>
        <rFont val="Arial"/>
        <color theme="1"/>
        <sz val="12.0"/>
      </rPr>
      <t xml:space="preserve">💧HUA Y9 2018/Y9 2019 </t>
    </r>
    <r>
      <rPr>
        <rFont val="Arial"/>
        <b/>
        <color theme="1"/>
        <sz val="12.0"/>
      </rPr>
      <t>T</t>
    </r>
  </si>
  <si>
    <t xml:space="preserve">💧HUA G8 </t>
  </si>
  <si>
    <t>ALCATEL</t>
  </si>
  <si>
    <t>🟣IDOL MINI (OT6012) TLP017A2</t>
  </si>
  <si>
    <t>🟣IDOL MINI 3 (OT6039)  TLP020K2</t>
  </si>
  <si>
    <t>🟣A3 XL OT9008 TLP030JC</t>
  </si>
  <si>
    <t>🟣POP 2 (OT5042) TLI020F1</t>
  </si>
  <si>
    <t>🟣POP C7 / U5  OT7040 PLI019B2</t>
  </si>
  <si>
    <t>🟣ALCATEL 1 (5033)</t>
  </si>
  <si>
    <t>🟢XPERIA S BA800</t>
  </si>
  <si>
    <t>🟢X PERIA U BA600</t>
  </si>
  <si>
    <t>🟢X PERIA L / M BA900</t>
  </si>
  <si>
    <t>🟢M4/ M4 AQUA E2306 LIS1576ERPC</t>
  </si>
  <si>
    <t>🟢M5  E5606</t>
  </si>
  <si>
    <t>🟢E4G E2104 LIS1574ERPC</t>
  </si>
  <si>
    <t>🟢XA LIS1681ERPC</t>
  </si>
  <si>
    <t>🟢XA1 G3121 LIS1635ERPC</t>
  </si>
  <si>
    <t>🟢ZL LIS1501ERPC</t>
  </si>
  <si>
    <t>⚫ 640 BV-T5C</t>
  </si>
  <si>
    <t>⚫ 640 XL BV-4B</t>
  </si>
  <si>
    <t>⚫ 2.3 / 23M WT240</t>
  </si>
  <si>
    <t>⚫ 3.1 PLUS HE3631</t>
  </si>
  <si>
    <t>⚫ 5.1 PLUS HE342</t>
  </si>
  <si>
    <t>⚫ BL4C 6101</t>
  </si>
  <si>
    <t>⚫  BL4C</t>
  </si>
  <si>
    <t>⚫ BL4D</t>
  </si>
  <si>
    <t>⚫ BL5F</t>
  </si>
  <si>
    <t>⚫ BL5J</t>
  </si>
  <si>
    <t>⚫ 1100 BL5C</t>
  </si>
  <si>
    <t>⚫ ASHA 311 BL4U</t>
  </si>
  <si>
    <t>⚫NOKIA 535 BL4A</t>
  </si>
  <si>
    <t>ACTUALIZADA 15/02/24</t>
  </si>
  <si>
    <t>TAPAS IPHONE</t>
  </si>
  <si>
    <t>🍏IPHONE 8</t>
  </si>
  <si>
    <t xml:space="preserve">🍏IPHONE 8 PLUS </t>
  </si>
  <si>
    <t xml:space="preserve">🍏IPHONE X </t>
  </si>
  <si>
    <t>🍏IPHONE XS</t>
  </si>
  <si>
    <t>🍏IPHONE XR</t>
  </si>
  <si>
    <t>🍏IPHONE XS MAX</t>
  </si>
  <si>
    <t>🍏IPHONE 11</t>
  </si>
  <si>
    <t>🍏IPHONE 11 PRO</t>
  </si>
  <si>
    <t>🍏IPHONE 11 PRO MAX</t>
  </si>
  <si>
    <t>🍏IPHONE 12</t>
  </si>
  <si>
    <t>🍏IPHONE 12 MINI</t>
  </si>
  <si>
    <t>🍏IPHONE 12 PRO</t>
  </si>
  <si>
    <t>🍏IPHONE 12 PRO MAX</t>
  </si>
  <si>
    <t>🍏IPHONE 13</t>
  </si>
  <si>
    <t>🍏IPHONE 13 MINI</t>
  </si>
  <si>
    <t>🍏IPHONE 13 PRO</t>
  </si>
  <si>
    <t>🍏IPHONE 13 PRO MAX</t>
  </si>
  <si>
    <t>🍏IPHONE 14</t>
  </si>
  <si>
    <t>🍏IPHONE 14 PRO</t>
  </si>
  <si>
    <t>🍏IPHONE 14 PRO MAX</t>
  </si>
  <si>
    <t>MARCA</t>
  </si>
  <si>
    <t>MODELO</t>
  </si>
  <si>
    <t>REPARACION</t>
  </si>
  <si>
    <t>EFECTIVO</t>
  </si>
  <si>
    <t>A01</t>
  </si>
  <si>
    <t>MODULO ORIGINAL</t>
  </si>
  <si>
    <t>BATERIA ORIGINAL</t>
  </si>
  <si>
    <t>BATERIA ALTERNATIVA</t>
  </si>
  <si>
    <t>PIN DE CARGA</t>
  </si>
  <si>
    <t>A01 CORE</t>
  </si>
  <si>
    <t>A02</t>
  </si>
  <si>
    <t>A02S</t>
  </si>
  <si>
    <t>A02 CORE</t>
  </si>
  <si>
    <t>A03 / A03S</t>
  </si>
  <si>
    <t>A03 CORE</t>
  </si>
  <si>
    <t>A04 / A04S / A04E</t>
  </si>
  <si>
    <t>A04 CORE</t>
  </si>
  <si>
    <t>A05 / A05s</t>
  </si>
  <si>
    <t>A06</t>
  </si>
  <si>
    <t>A10 / A10s</t>
  </si>
  <si>
    <t>A11</t>
  </si>
  <si>
    <t>A12/M12</t>
  </si>
  <si>
    <t>A13</t>
  </si>
  <si>
    <t>A14</t>
  </si>
  <si>
    <t>A15</t>
  </si>
  <si>
    <t>A16</t>
  </si>
  <si>
    <t>A20</t>
  </si>
  <si>
    <t>MODULO ALTERATIVO</t>
  </si>
  <si>
    <t>A20s/A21</t>
  </si>
  <si>
    <t>A21s</t>
  </si>
  <si>
    <t>A22</t>
  </si>
  <si>
    <t>A23</t>
  </si>
  <si>
    <t>A24</t>
  </si>
  <si>
    <t>A25</t>
  </si>
  <si>
    <t>A26</t>
  </si>
  <si>
    <t>A30/A30s</t>
  </si>
  <si>
    <t>A31</t>
  </si>
  <si>
    <t>A32</t>
  </si>
  <si>
    <t>A33</t>
  </si>
  <si>
    <t>A34</t>
  </si>
  <si>
    <t>MODULO SAMSUNG ORI</t>
  </si>
  <si>
    <t>A35</t>
  </si>
  <si>
    <t>A36</t>
  </si>
  <si>
    <t>A50/A50s</t>
  </si>
  <si>
    <t>A51</t>
  </si>
  <si>
    <t>A52/A52s</t>
  </si>
  <si>
    <t>A53</t>
  </si>
  <si>
    <t>A54</t>
  </si>
  <si>
    <t>A55</t>
  </si>
  <si>
    <t>A56</t>
  </si>
  <si>
    <t>A70</t>
  </si>
  <si>
    <t>A71</t>
  </si>
  <si>
    <t>A72</t>
  </si>
  <si>
    <t>A73</t>
  </si>
  <si>
    <t>S10</t>
  </si>
  <si>
    <t>S10 PLUS</t>
  </si>
  <si>
    <t>S10E</t>
  </si>
  <si>
    <t>S20</t>
  </si>
  <si>
    <t>PLACA DE CARGA</t>
  </si>
  <si>
    <t>S20 PLUS</t>
  </si>
  <si>
    <t>S20 FE</t>
  </si>
  <si>
    <t>S20 ULTRA</t>
  </si>
  <si>
    <t>S21</t>
  </si>
  <si>
    <t>S21 FE</t>
  </si>
  <si>
    <t>S21 PLUS</t>
  </si>
  <si>
    <t>S21 ULTRA</t>
  </si>
  <si>
    <t>S22</t>
  </si>
  <si>
    <t>S22 PLUS</t>
  </si>
  <si>
    <t>S22 ULTRA</t>
  </si>
  <si>
    <t>S23</t>
  </si>
  <si>
    <t>S23 PLUS</t>
  </si>
  <si>
    <t>S23 FE</t>
  </si>
  <si>
    <t>S23 ULTRA</t>
  </si>
  <si>
    <t>S24</t>
  </si>
  <si>
    <t>S24 PLUS</t>
  </si>
  <si>
    <t>S24 FE</t>
  </si>
  <si>
    <t>S24 ULTRA</t>
  </si>
  <si>
    <t>S25</t>
  </si>
  <si>
    <t>S25 PLUS</t>
  </si>
  <si>
    <t>S25 FE</t>
  </si>
  <si>
    <t>S25 ULTRA</t>
  </si>
  <si>
    <t>6/6S</t>
  </si>
  <si>
    <t>TAPA</t>
  </si>
  <si>
    <t>6 PLUS/ 6S PLUS</t>
  </si>
  <si>
    <t>7 PLUS</t>
  </si>
  <si>
    <t>8 PLUS</t>
  </si>
  <si>
    <t>XR</t>
  </si>
  <si>
    <t>X/XS</t>
  </si>
  <si>
    <t>XS MAX</t>
  </si>
  <si>
    <t>11 PRO</t>
  </si>
  <si>
    <t>11 PRO MAX</t>
  </si>
  <si>
    <t>12 PRO</t>
  </si>
  <si>
    <t>12 PRO MAX</t>
  </si>
  <si>
    <t>13 PRO</t>
  </si>
  <si>
    <t>13 PRO MAX</t>
  </si>
  <si>
    <t>14 PRO</t>
  </si>
  <si>
    <t>14 PRO MAX</t>
  </si>
  <si>
    <t>14 PLUS</t>
  </si>
  <si>
    <t>15 PRO</t>
  </si>
  <si>
    <t>15 PRO MAX</t>
  </si>
  <si>
    <t>15 PLUS</t>
  </si>
  <si>
    <t>16 PRO</t>
  </si>
  <si>
    <t>16 PRO MAX</t>
  </si>
  <si>
    <t>16 PLUS</t>
  </si>
  <si>
    <t>17 PRO</t>
  </si>
  <si>
    <t>17 PRO MAX</t>
  </si>
  <si>
    <t>17 AIR</t>
  </si>
  <si>
    <t>E6/E6i/E6s</t>
  </si>
  <si>
    <t xml:space="preserve">E7 / E7+ </t>
  </si>
  <si>
    <t>E7/ E7i POWER</t>
  </si>
  <si>
    <t>E13</t>
  </si>
  <si>
    <t>E14</t>
  </si>
  <si>
    <t>E15</t>
  </si>
  <si>
    <t>E20</t>
  </si>
  <si>
    <t>E22/E22i</t>
  </si>
  <si>
    <t>E32</t>
  </si>
  <si>
    <t>E30</t>
  </si>
  <si>
    <t>E40</t>
  </si>
  <si>
    <t>G04/G04S</t>
  </si>
  <si>
    <t>G05</t>
  </si>
  <si>
    <t>G5/G5+/G5S +</t>
  </si>
  <si>
    <t>G6/G6 PLAY/G6+</t>
  </si>
  <si>
    <t>G7/G7PLAY/G7+</t>
  </si>
  <si>
    <t>G7 POWER</t>
  </si>
  <si>
    <t>G8/G8 PLAY/ G8+</t>
  </si>
  <si>
    <t>G8 POWER</t>
  </si>
  <si>
    <t>G8 POWER LITE</t>
  </si>
  <si>
    <t>G9</t>
  </si>
  <si>
    <t>G9+/G9 PLAY</t>
  </si>
  <si>
    <t>G9 POWER</t>
  </si>
  <si>
    <t>G10/G10 PLAY</t>
  </si>
  <si>
    <t>G13</t>
  </si>
  <si>
    <t>G14</t>
  </si>
  <si>
    <t>G15/G15 POWER</t>
  </si>
  <si>
    <t>G20</t>
  </si>
  <si>
    <t>G23</t>
  </si>
  <si>
    <t>G24/G24 POWER</t>
  </si>
  <si>
    <t>G30</t>
  </si>
  <si>
    <t>G31</t>
  </si>
  <si>
    <t>G32</t>
  </si>
  <si>
    <t>G34</t>
  </si>
  <si>
    <t>G35</t>
  </si>
  <si>
    <t>G41</t>
  </si>
  <si>
    <t>G42</t>
  </si>
  <si>
    <t>G50</t>
  </si>
  <si>
    <t>G51</t>
  </si>
  <si>
    <t>G52</t>
  </si>
  <si>
    <t>G53</t>
  </si>
  <si>
    <t>G60/G60S</t>
  </si>
  <si>
    <t>G71</t>
  </si>
  <si>
    <t>G72</t>
  </si>
  <si>
    <t>G73</t>
  </si>
  <si>
    <t>G80</t>
  </si>
  <si>
    <t>G82</t>
  </si>
  <si>
    <t>G84</t>
  </si>
  <si>
    <t>G85</t>
  </si>
  <si>
    <t>G100</t>
  </si>
  <si>
    <t>G200</t>
  </si>
  <si>
    <t>EDGE</t>
  </si>
  <si>
    <t xml:space="preserve">EDGE 20 </t>
  </si>
  <si>
    <t>EDGE 20 PRO</t>
  </si>
  <si>
    <t>EDGE 20 LITE</t>
  </si>
  <si>
    <t>EDGE 20 FUSION</t>
  </si>
  <si>
    <t>EDGE 30</t>
  </si>
  <si>
    <t>EDGE 30 FUSION</t>
  </si>
  <si>
    <t>EDGE 30 NEO</t>
  </si>
  <si>
    <t>EDGE 30 LITE</t>
  </si>
  <si>
    <t>EDGE 30 ULTRA</t>
  </si>
  <si>
    <t>EDGE 30 PRO</t>
  </si>
  <si>
    <t>EDGE 40</t>
  </si>
  <si>
    <t>EDGE 40 NEO</t>
  </si>
  <si>
    <t>EDGE 40 PRO</t>
  </si>
  <si>
    <t>EDGE 50</t>
  </si>
  <si>
    <t>EDGE 50 PRO</t>
  </si>
  <si>
    <t>EDGE 50 FUSION</t>
  </si>
  <si>
    <t>EDGE 50 ULTRA</t>
  </si>
  <si>
    <t>EDGE 60 FUSION</t>
  </si>
  <si>
    <t>ONE MACRO</t>
  </si>
  <si>
    <t>ONE VISION</t>
  </si>
  <si>
    <t>ONE ACTION</t>
  </si>
  <si>
    <t>ONE FUSION</t>
  </si>
  <si>
    <t>ONE HYPER</t>
  </si>
  <si>
    <t>ONE ZOOM</t>
  </si>
  <si>
    <t>ONE</t>
  </si>
  <si>
    <t>ONE POWER</t>
  </si>
  <si>
    <t>Z PLAY</t>
  </si>
  <si>
    <t>Z2 PLAY</t>
  </si>
  <si>
    <t>Z3 PLAY</t>
  </si>
  <si>
    <t>Mi A2 LITE</t>
  </si>
  <si>
    <t>Mi A3</t>
  </si>
  <si>
    <t>REDMI A3</t>
  </si>
  <si>
    <t>REDMI A3X</t>
  </si>
  <si>
    <t>NOTE 7 / NOTE 7 PRO</t>
  </si>
  <si>
    <t>REDMI 7</t>
  </si>
  <si>
    <t>REDMI 7A</t>
  </si>
  <si>
    <t>Mi 8</t>
  </si>
  <si>
    <t>Mi 8 LITE</t>
  </si>
  <si>
    <t>NOTE 8</t>
  </si>
  <si>
    <t>NOTE 8 PRO / NOTE 9T</t>
  </si>
  <si>
    <t>REDMI 8</t>
  </si>
  <si>
    <t>REDMI 8A</t>
  </si>
  <si>
    <t>Mi 9 / Mi 9 LITE</t>
  </si>
  <si>
    <t xml:space="preserve">Mi 9 SE </t>
  </si>
  <si>
    <t>Mi 9T / Mi 9T PRO</t>
  </si>
  <si>
    <t>NOTE 9</t>
  </si>
  <si>
    <t>NOTE 9S</t>
  </si>
  <si>
    <t>NOTE 9 PRO</t>
  </si>
  <si>
    <t>NOTE 9T</t>
  </si>
  <si>
    <t>NOTE 9 5G</t>
  </si>
  <si>
    <t>REDMI 9</t>
  </si>
  <si>
    <t>REDMI 9A / REDMI 9C</t>
  </si>
  <si>
    <t>REDMI 9 T</t>
  </si>
  <si>
    <t>Mi NOTE 10</t>
  </si>
  <si>
    <t>Mi NOTE 10 LITE</t>
  </si>
  <si>
    <t>Mi NOTE 10 PRO</t>
  </si>
  <si>
    <t>NOTE 10 4G</t>
  </si>
  <si>
    <t>NOTE 10S</t>
  </si>
  <si>
    <t>NOTE 10 5G</t>
  </si>
  <si>
    <t>NOTE 10 PRO</t>
  </si>
  <si>
    <t>REDMI 10 4G</t>
  </si>
  <si>
    <t>REDMI 10 C</t>
  </si>
  <si>
    <t>Mi 11 LITE</t>
  </si>
  <si>
    <t>Mi 11 T / Mi 11 T PRO</t>
  </si>
  <si>
    <t>NOTE 11 4G</t>
  </si>
  <si>
    <t>NOTE 11 PRO PLUS</t>
  </si>
  <si>
    <t>NOTE 11 S</t>
  </si>
  <si>
    <t>NOTE 11 5G</t>
  </si>
  <si>
    <t>NOTE 11 SE</t>
  </si>
  <si>
    <t>Mi 12 T / Mi 12 T PRO</t>
  </si>
  <si>
    <t>NOTE 12</t>
  </si>
  <si>
    <t>NOTE 12 4G</t>
  </si>
  <si>
    <t>NOTE 12 5G</t>
  </si>
  <si>
    <t>NOTE 12 PRO</t>
  </si>
  <si>
    <t>REDMI 12</t>
  </si>
  <si>
    <t>REDMI 12 C</t>
  </si>
  <si>
    <t>NOTE 13 4G</t>
  </si>
  <si>
    <t>NOTE 13 PRO 4G</t>
  </si>
  <si>
    <t>NOTE 13 PRO PLUS</t>
  </si>
  <si>
    <t>REDMI 13</t>
  </si>
  <si>
    <t>REDMI 13 C</t>
  </si>
  <si>
    <t>NOTE 14 4G</t>
  </si>
  <si>
    <t>NOTE 14 PRO 5G</t>
  </si>
  <si>
    <t>NOTE 14 PRO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</si>
</sst>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$]#,##0"/>
    <numFmt numFmtId="166" formatCode="&quot;$&quot;#,##0.000"/>
  </numFmts>
  <fonts count="4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000000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  <scheme val="minor"/>
    </font>
    <font>
      <b/>
      <sz val="12.0"/>
      <color rgb="FFFF0000"/>
      <name val="Arial"/>
    </font>
    <font>
      <b/>
      <sz val="12.0"/>
      <color rgb="FFFF0000"/>
      <name val="Arial"/>
      <scheme val="minor"/>
    </font>
    <font>
      <b/>
      <sz val="12.0"/>
      <color rgb="FFF6B26B"/>
      <name val="Arial"/>
      <scheme val="minor"/>
    </font>
    <font>
      <color theme="1"/>
      <name val="Arial"/>
    </font>
    <font>
      <b/>
      <sz val="12.0"/>
      <color rgb="FFF6B26B"/>
      <name val="Arial"/>
    </font>
    <font>
      <sz val="12.0"/>
      <color rgb="FFFF0000"/>
      <name val="Arial"/>
      <scheme val="minor"/>
    </font>
    <font>
      <sz val="11.0"/>
      <color rgb="FF000000"/>
      <name val="Arial"/>
    </font>
    <font>
      <b/>
      <sz val="12.0"/>
      <color rgb="FFFF9900"/>
      <name val="Arial"/>
      <scheme val="minor"/>
    </font>
    <font>
      <b/>
      <sz val="12.0"/>
      <color rgb="FFFF9900"/>
      <name val="Arial"/>
    </font>
    <font>
      <sz val="11.0"/>
      <color theme="1"/>
      <name val="Calibri"/>
    </font>
    <font>
      <b/>
      <sz val="18.0"/>
      <color theme="1"/>
      <name val="Arial"/>
      <scheme val="minor"/>
    </font>
    <font>
      <b/>
      <sz val="12.0"/>
      <color theme="1"/>
      <name val="Calibri"/>
    </font>
    <font>
      <b/>
      <sz val="15.0"/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b/>
      <sz val="13.0"/>
      <color rgb="FF000000"/>
      <name val="Arial"/>
    </font>
    <font>
      <color rgb="FF1F1F1F"/>
      <name val="Arial"/>
    </font>
    <font>
      <sz val="13.0"/>
      <color rgb="FF000000"/>
      <name val="Arial"/>
    </font>
    <font>
      <b/>
      <sz val="12.0"/>
      <color rgb="FF11734B"/>
      <name val="Arial"/>
    </font>
    <font>
      <sz val="12.0"/>
      <color rgb="FF0A53A8"/>
      <name val="Arial"/>
    </font>
    <font>
      <sz val="12.0"/>
      <color rgb="FF5A3286"/>
      <name val="Arial"/>
    </font>
    <font>
      <sz val="12.0"/>
      <color rgb="FF753800"/>
      <name val="Arial"/>
    </font>
    <font>
      <sz val="13.0"/>
      <color theme="1"/>
      <name val="Calibri"/>
    </font>
    <font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538ED5"/>
        <bgColor rgb="FF538ED5"/>
      </patternFill>
    </fill>
    <fill>
      <patternFill patternType="solid">
        <fgColor theme="8"/>
        <bgColor theme="8"/>
      </patternFill>
    </fill>
    <fill>
      <patternFill patternType="solid">
        <fgColor rgb="FF8064A2"/>
        <bgColor rgb="FF8064A2"/>
      </patternFill>
    </fill>
    <fill>
      <patternFill patternType="solid">
        <fgColor rgb="FFC5BE97"/>
        <bgColor rgb="FFC5BE97"/>
      </patternFill>
    </fill>
    <fill>
      <patternFill patternType="solid">
        <fgColor rgb="FFD5A6BD"/>
        <bgColor rgb="FFD5A6BD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42048"/>
        <bgColor rgb="FFA42048"/>
      </patternFill>
    </fill>
    <fill>
      <patternFill patternType="solid">
        <fgColor rgb="FFF6F8F9"/>
        <bgColor rgb="FFF6F8F9"/>
      </patternFill>
    </fill>
  </fills>
  <borders count="1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7B183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B1836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742932"/>
      </lef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4" xfId="0" applyFont="1" applyNumberFormat="1"/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9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5" fontId="11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5" fontId="11" numFmtId="0" xfId="0" applyAlignment="1" applyFont="1">
      <alignment readingOrder="0" shrinkToFit="0" vertical="bottom" wrapText="0"/>
    </xf>
    <xf borderId="0" fillId="2" fontId="14" numFmtId="0" xfId="0" applyAlignment="1" applyFont="1">
      <alignment horizontal="center" readingOrder="0"/>
    </xf>
    <xf borderId="0" fillId="0" fontId="11" numFmtId="0" xfId="0" applyAlignment="1" applyFont="1">
      <alignment readingOrder="0" shrinkToFit="0" vertical="bottom" wrapText="0"/>
    </xf>
    <xf borderId="0" fillId="2" fontId="9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bottom" wrapText="0"/>
    </xf>
    <xf borderId="0" fillId="6" fontId="16" numFmtId="0" xfId="0" applyAlignment="1" applyFill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0" numFmtId="0" xfId="0" applyFont="1"/>
    <xf borderId="0" fillId="0" fontId="18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0" fontId="19" numFmtId="0" xfId="0" applyAlignment="1" applyFont="1">
      <alignment vertical="bottom"/>
    </xf>
    <xf borderId="0" fillId="0" fontId="19" numFmtId="164" xfId="0" applyAlignment="1" applyFont="1" applyNumberFormat="1">
      <alignment vertical="bottom"/>
    </xf>
    <xf borderId="0" fillId="0" fontId="19" numFmtId="0" xfId="0" applyAlignment="1" applyFont="1">
      <alignment readingOrder="0" vertical="bottom"/>
    </xf>
    <xf borderId="0" fillId="0" fontId="9" numFmtId="0" xfId="0" applyAlignment="1" applyFont="1">
      <alignment horizontal="left" readingOrder="0"/>
    </xf>
    <xf borderId="0" fillId="0" fontId="18" numFmtId="0" xfId="0" applyAlignment="1" applyFont="1">
      <alignment horizontal="center"/>
    </xf>
    <xf borderId="0" fillId="7" fontId="11" numFmtId="0" xfId="0" applyAlignment="1" applyFill="1" applyFont="1">
      <alignment horizontal="left" readingOrder="0"/>
    </xf>
    <xf borderId="0" fillId="7" fontId="3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7" fontId="2" numFmtId="0" xfId="0" applyAlignment="1" applyFont="1">
      <alignment readingOrder="0"/>
    </xf>
    <xf borderId="0" fillId="8" fontId="11" numFmtId="0" xfId="0" applyAlignment="1" applyFill="1" applyFont="1">
      <alignment horizontal="left" readingOrder="0"/>
    </xf>
    <xf borderId="0" fillId="7" fontId="9" numFmtId="0" xfId="0" applyAlignment="1" applyFont="1">
      <alignment horizontal="left" readingOrder="0"/>
    </xf>
    <xf borderId="0" fillId="0" fontId="19" numFmtId="0" xfId="0" applyAlignment="1" applyFont="1">
      <alignment vertical="bottom"/>
    </xf>
    <xf borderId="0" fillId="9" fontId="3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0" fontId="21" numFmtId="0" xfId="0" applyFont="1"/>
    <xf borderId="0" fillId="2" fontId="11" numFmtId="0" xfId="0" applyAlignment="1" applyFont="1">
      <alignment horizontal="left" readingOrder="0"/>
    </xf>
    <xf borderId="0" fillId="0" fontId="16" numFmtId="0" xfId="0" applyAlignment="1" applyFont="1">
      <alignment horizontal="center" readingOrder="0"/>
    </xf>
    <xf borderId="0" fillId="0" fontId="3" numFmtId="0" xfId="0" applyAlignment="1" applyFont="1">
      <alignment horizontal="right"/>
    </xf>
    <xf borderId="0" fillId="10" fontId="9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6" fontId="3" numFmtId="0" xfId="0" applyAlignment="1" applyFont="1">
      <alignment horizontal="center"/>
    </xf>
    <xf borderId="0" fillId="0" fontId="19" numFmtId="4" xfId="0" applyAlignment="1" applyFont="1" applyNumberFormat="1">
      <alignment vertical="bottom"/>
    </xf>
    <xf borderId="0" fillId="2" fontId="3" numFmtId="0" xfId="0" applyAlignment="1" applyFont="1">
      <alignment horizontal="center"/>
    </xf>
    <xf borderId="0" fillId="0" fontId="22" numFmtId="0" xfId="0" applyAlignment="1" applyFont="1">
      <alignment horizontal="left" readingOrder="0"/>
    </xf>
    <xf borderId="0" fillId="8" fontId="19" numFmtId="0" xfId="0" applyAlignment="1" applyFont="1">
      <alignment vertical="bottom"/>
    </xf>
    <xf borderId="0" fillId="2" fontId="9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/>
    </xf>
    <xf borderId="0" fillId="6" fontId="3" numFmtId="3" xfId="0" applyAlignment="1" applyFont="1" applyNumberFormat="1">
      <alignment horizontal="center" readingOrder="0"/>
    </xf>
    <xf borderId="0" fillId="11" fontId="9" numFmtId="0" xfId="0" applyAlignment="1" applyFill="1" applyFont="1">
      <alignment horizontal="center" readingOrder="0" shrinkToFit="0" vertical="bottom" wrapText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4" xfId="0" applyAlignment="1" applyFont="1" applyNumberFormat="1">
      <alignment horizontal="center" readingOrder="0" vertical="bottom"/>
    </xf>
    <xf borderId="0" fillId="0" fontId="24" numFmtId="4" xfId="0" applyAlignment="1" applyFont="1" applyNumberFormat="1">
      <alignment horizontal="center" vertical="bottom"/>
    </xf>
    <xf borderId="0" fillId="0" fontId="24" numFmtId="4" xfId="0" applyAlignment="1" applyFont="1" applyNumberFormat="1">
      <alignment horizontal="center" readingOrder="0"/>
    </xf>
    <xf borderId="0" fillId="0" fontId="25" numFmtId="4" xfId="0" applyAlignment="1" applyFont="1" applyNumberFormat="1">
      <alignment horizontal="right" readingOrder="0" vertical="bottom"/>
    </xf>
    <xf borderId="0" fillId="0" fontId="25" numFmtId="165" xfId="0" applyAlignment="1" applyFont="1" applyNumberFormat="1">
      <alignment horizontal="right" readingOrder="0" vertical="bottom"/>
    </xf>
    <xf borderId="0" fillId="0" fontId="24" numFmtId="4" xfId="0" applyAlignment="1" applyFont="1" applyNumberFormat="1">
      <alignment horizontal="center" readingOrder="0" shrinkToFit="0" vertical="bottom" wrapText="0"/>
    </xf>
    <xf borderId="0" fillId="0" fontId="26" numFmtId="0" xfId="0" applyAlignment="1" applyFont="1">
      <alignment readingOrder="0"/>
    </xf>
    <xf borderId="0" fillId="12" fontId="9" numFmtId="0" xfId="0" applyAlignment="1" applyFill="1" applyFont="1">
      <alignment horizontal="center" readingOrder="0" shrinkToFit="0" vertical="bottom" wrapText="0"/>
    </xf>
    <xf borderId="0" fillId="6" fontId="4" numFmtId="0" xfId="0" applyFont="1"/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19" numFmtId="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6" fontId="1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7" numFmtId="0" xfId="0" applyAlignment="1" applyFont="1">
      <alignment horizontal="center" vertical="bottom"/>
    </xf>
    <xf borderId="0" fillId="13" fontId="9" numFmtId="0" xfId="0" applyAlignment="1" applyFill="1" applyFont="1">
      <alignment horizontal="center" readingOrder="0" shrinkToFit="0" vertical="bottom" wrapText="0"/>
    </xf>
    <xf borderId="0" fillId="14" fontId="3" numFmtId="0" xfId="0" applyAlignment="1" applyFill="1" applyFont="1">
      <alignment horizontal="center" readingOrder="0"/>
    </xf>
    <xf borderId="0" fillId="0" fontId="14" numFmtId="165" xfId="0" applyAlignment="1" applyFont="1" applyNumberFormat="1">
      <alignment horizontal="center" readingOrder="0" vertical="bottom"/>
    </xf>
    <xf borderId="0" fillId="14" fontId="3" numFmtId="0" xfId="0" applyAlignment="1" applyFont="1">
      <alignment horizontal="center"/>
    </xf>
    <xf borderId="0" fillId="0" fontId="14" numFmtId="49" xfId="0" applyAlignment="1" applyFont="1" applyNumberFormat="1">
      <alignment horizontal="center" readingOrder="0" vertical="bottom"/>
    </xf>
    <xf borderId="0" fillId="0" fontId="9" numFmtId="49" xfId="0" applyAlignment="1" applyFont="1" applyNumberFormat="1">
      <alignment horizontal="center" readingOrder="0" shrinkToFit="0" vertical="bottom" wrapText="0"/>
    </xf>
    <xf borderId="0" fillId="0" fontId="14" numFmtId="49" xfId="0" applyAlignment="1" applyFont="1" applyNumberFormat="1">
      <alignment horizontal="center" vertical="bottom"/>
    </xf>
    <xf borderId="0" fillId="0" fontId="14" numFmtId="49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0" fillId="0" fontId="5" numFmtId="4" xfId="0" applyAlignment="1" applyFont="1" applyNumberFormat="1">
      <alignment horizontal="center" readingOrder="0"/>
    </xf>
    <xf borderId="0" fillId="15" fontId="9" numFmtId="0" xfId="0" applyAlignment="1" applyFill="1" applyFont="1">
      <alignment horizontal="center" readingOrder="0" shrinkToFit="0" vertical="bottom" wrapText="0"/>
    </xf>
    <xf borderId="1" fillId="0" fontId="14" numFmtId="49" xfId="0" applyAlignment="1" applyBorder="1" applyFont="1" applyNumberFormat="1">
      <alignment horizontal="center" readingOrder="0" vertical="bottom"/>
    </xf>
    <xf borderId="1" fillId="0" fontId="25" numFmtId="4" xfId="0" applyAlignment="1" applyBorder="1" applyFont="1" applyNumberFormat="1">
      <alignment horizontal="right" readingOrder="0" vertical="bottom"/>
    </xf>
    <xf borderId="0" fillId="8" fontId="10" numFmtId="0" xfId="0" applyAlignment="1" applyFont="1">
      <alignment vertical="bottom"/>
    </xf>
    <xf borderId="0" fillId="7" fontId="14" numFmtId="0" xfId="0" applyAlignment="1" applyFont="1">
      <alignment horizontal="center" vertical="bottom"/>
    </xf>
    <xf borderId="0" fillId="14" fontId="14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7" fontId="14" numFmtId="0" xfId="0" applyAlignment="1" applyFon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4" numFmtId="0" xfId="0" applyAlignment="1" applyFont="1">
      <alignment horizontal="center"/>
    </xf>
    <xf borderId="0" fillId="0" fontId="3" numFmtId="49" xfId="0" applyAlignment="1" applyFont="1" applyNumberFormat="1">
      <alignment horizontal="center" readingOrder="0"/>
    </xf>
    <xf borderId="0" fillId="0" fontId="5" numFmtId="4" xfId="0" applyAlignment="1" applyFont="1" applyNumberFormat="1">
      <alignment readingOrder="0"/>
    </xf>
    <xf borderId="0" fillId="9" fontId="9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14" fontId="14" numFmtId="0" xfId="0" applyAlignment="1" applyFont="1">
      <alignment horizontal="center" readingOrder="0"/>
    </xf>
    <xf borderId="0" fillId="8" fontId="11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0" fillId="2" fontId="28" numFmtId="0" xfId="0" applyAlignment="1" applyFont="1">
      <alignment readingOrder="0" shrinkToFit="0" vertical="bottom" wrapText="0"/>
    </xf>
    <xf borderId="0" fillId="2" fontId="19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0" fillId="7" fontId="30" numFmtId="0" xfId="0" applyAlignment="1" applyFont="1">
      <alignment horizontal="center" readingOrder="0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7" fontId="14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horizontal="center" readingOrder="0" vertical="bottom"/>
    </xf>
    <xf borderId="0" fillId="7" fontId="30" numFmtId="0" xfId="0" applyAlignment="1" applyFont="1">
      <alignment horizontal="center" vertical="bottom"/>
    </xf>
    <xf borderId="0" fillId="14" fontId="1" numFmtId="0" xfId="0" applyAlignment="1" applyFont="1">
      <alignment horizontal="center" readingOrder="0"/>
    </xf>
    <xf borderId="0" fillId="16" fontId="31" numFmtId="0" xfId="0" applyAlignment="1" applyFill="1" applyFont="1">
      <alignment horizontal="center" vertical="bottom"/>
    </xf>
    <xf borderId="0" fillId="3" fontId="31" numFmtId="0" xfId="0" applyAlignment="1" applyFont="1">
      <alignment horizontal="center" vertical="bottom"/>
    </xf>
    <xf borderId="0" fillId="14" fontId="31" numFmtId="0" xfId="0" applyAlignment="1" applyFont="1">
      <alignment horizontal="center" readingOrder="0" vertical="bottom"/>
    </xf>
    <xf borderId="0" fillId="7" fontId="31" numFmtId="0" xfId="0" applyAlignment="1" applyFont="1">
      <alignment horizontal="center" readingOrder="0" vertical="bottom"/>
    </xf>
    <xf borderId="0" fillId="17" fontId="31" numFmtId="0" xfId="0" applyAlignment="1" applyFill="1" applyFont="1">
      <alignment horizontal="center" vertical="bottom"/>
    </xf>
    <xf borderId="0" fillId="10" fontId="31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3" fontId="30" numFmtId="0" xfId="0" applyAlignment="1" applyFont="1">
      <alignment horizontal="center" readingOrder="0" vertical="bottom"/>
    </xf>
    <xf borderId="0" fillId="14" fontId="30" numFmtId="0" xfId="0" applyAlignment="1" applyFont="1">
      <alignment horizontal="center" vertical="bottom"/>
    </xf>
    <xf borderId="0" fillId="7" fontId="32" numFmtId="0" xfId="0" applyAlignment="1" applyFont="1">
      <alignment horizontal="center" readingOrder="0" vertical="bottom"/>
    </xf>
    <xf borderId="0" fillId="0" fontId="10" numFmtId="0" xfId="0" applyAlignment="1" applyFont="1">
      <alignment vertical="bottom"/>
    </xf>
    <xf borderId="0" fillId="7" fontId="30" numFmtId="0" xfId="0" applyAlignment="1" applyFont="1">
      <alignment vertical="bottom"/>
    </xf>
    <xf borderId="0" fillId="14" fontId="7" numFmtId="0" xfId="0" applyAlignment="1" applyFont="1">
      <alignment horizontal="center"/>
    </xf>
    <xf borderId="0" fillId="0" fontId="30" numFmtId="0" xfId="0" applyAlignment="1" applyFont="1">
      <alignment horizontal="center" vertical="bottom"/>
    </xf>
    <xf borderId="0" fillId="8" fontId="10" numFmtId="0" xfId="0" applyAlignment="1" applyFont="1">
      <alignment readingOrder="0" vertical="bottom"/>
    </xf>
    <xf borderId="0" fillId="7" fontId="3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30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31" numFmtId="0" xfId="0" applyAlignment="1" applyFont="1">
      <alignment vertical="bottom"/>
    </xf>
    <xf borderId="0" fillId="2" fontId="31" numFmtId="0" xfId="0" applyAlignment="1" applyFont="1">
      <alignment readingOrder="0" vertical="bottom"/>
    </xf>
    <xf borderId="0" fillId="7" fontId="31" numFmtId="0" xfId="0" applyAlignment="1" applyFont="1">
      <alignment horizontal="center" vertical="bottom"/>
    </xf>
    <xf borderId="0" fillId="3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3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8" fontId="9" numFmtId="0" xfId="0" applyAlignment="1" applyFont="1">
      <alignment horizontal="left" readingOrder="0"/>
    </xf>
    <xf borderId="0" fillId="6" fontId="14" numFmtId="0" xfId="0" applyAlignment="1" applyFont="1">
      <alignment horizontal="center" readingOrder="0" vertical="bottom"/>
    </xf>
    <xf borderId="0" fillId="6" fontId="14" numFmtId="0" xfId="0" applyAlignment="1" applyFont="1">
      <alignment horizontal="center" vertical="bottom"/>
    </xf>
    <xf borderId="0" fillId="3" fontId="19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2" fontId="14" numFmtId="0" xfId="0" applyAlignment="1" applyFont="1">
      <alignment horizontal="center" readingOrder="0" vertical="bottom"/>
    </xf>
    <xf borderId="0" fillId="2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18" fontId="31" numFmtId="0" xfId="0" applyAlignment="1" applyFill="1" applyFont="1">
      <alignment horizontal="center" vertical="bottom"/>
    </xf>
    <xf borderId="0" fillId="19" fontId="14" numFmtId="0" xfId="0" applyAlignment="1" applyFill="1" applyFont="1">
      <alignment horizontal="center" readingOrder="0" vertical="bottom"/>
    </xf>
    <xf borderId="0" fillId="14" fontId="14" numFmtId="0" xfId="0" applyAlignment="1" applyFont="1">
      <alignment horizontal="center" readingOrder="0" vertical="bottom"/>
    </xf>
    <xf borderId="0" fillId="14" fontId="4" numFmtId="0" xfId="0" applyFont="1"/>
    <xf borderId="0" fillId="17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0" fontId="14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/>
    </xf>
    <xf borderId="0" fillId="9" fontId="14" numFmtId="0" xfId="0" applyAlignment="1" applyFont="1">
      <alignment horizontal="center" vertical="bottom"/>
    </xf>
    <xf borderId="0" fillId="21" fontId="14" numFmtId="0" xfId="0" applyAlignment="1" applyFill="1" applyFont="1">
      <alignment horizontal="center" vertical="bottom"/>
    </xf>
    <xf borderId="0" fillId="0" fontId="4" numFmtId="4" xfId="0" applyFont="1" applyNumberFormat="1"/>
    <xf borderId="0" fillId="8" fontId="33" numFmtId="0" xfId="0" applyAlignment="1" applyFont="1">
      <alignment vertical="bottom"/>
    </xf>
    <xf borderId="0" fillId="9" fontId="14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14" fontId="14" numFmtId="49" xfId="0" applyAlignment="1" applyFont="1" applyNumberFormat="1">
      <alignment horizontal="center"/>
    </xf>
    <xf borderId="0" fillId="22" fontId="14" numFmtId="0" xfId="0" applyAlignment="1" applyFill="1" applyFont="1">
      <alignment horizontal="center" vertical="bottom"/>
    </xf>
    <xf borderId="0" fillId="14" fontId="14" numFmtId="0" xfId="0" applyAlignment="1" applyFont="1">
      <alignment horizontal="center"/>
    </xf>
    <xf borderId="0" fillId="2" fontId="7" numFmtId="0" xfId="0" applyAlignment="1" applyFont="1">
      <alignment readingOrder="0"/>
    </xf>
    <xf borderId="0" fillId="4" fontId="14" numFmtId="0" xfId="0" applyAlignment="1" applyFont="1">
      <alignment horizontal="center" readingOrder="0"/>
    </xf>
    <xf borderId="0" fillId="23" fontId="14" numFmtId="0" xfId="0" applyAlignment="1" applyFill="1" applyFont="1">
      <alignment horizontal="center" readingOrder="0"/>
    </xf>
    <xf borderId="0" fillId="23" fontId="14" numFmtId="0" xfId="0" applyAlignment="1" applyFont="1">
      <alignment horizontal="center"/>
    </xf>
    <xf borderId="0" fillId="24" fontId="10" numFmtId="0" xfId="0" applyAlignment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6" fontId="11" numFmtId="0" xfId="0" applyAlignment="1" applyBorder="1" applyFont="1">
      <alignment horizontal="center" readingOrder="0" shrinkToFit="0" vertical="center" wrapText="0"/>
    </xf>
    <xf borderId="2" fillId="6" fontId="11" numFmtId="0" xfId="0" applyAlignment="1" applyBorder="1" applyFont="1">
      <alignment horizontal="center" shrinkToFit="0" vertical="center" wrapText="0"/>
    </xf>
    <xf borderId="2" fillId="8" fontId="1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2" fillId="25" fontId="11" numFmtId="0" xfId="0" applyAlignment="1" applyBorder="1" applyFill="1" applyFont="1">
      <alignment horizontal="center" shrinkToFit="0" vertical="center" wrapText="0"/>
    </xf>
    <xf borderId="2" fillId="25" fontId="11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2" fillId="8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2" fillId="0" fontId="34" numFmtId="0" xfId="0" applyAlignment="1" applyBorder="1" applyFont="1">
      <alignment horizontal="center" readingOrder="0" shrinkToFit="0" vertical="center" wrapText="0"/>
    </xf>
    <xf borderId="2" fillId="0" fontId="34" numFmtId="0" xfId="0" applyAlignment="1" applyBorder="1" applyFont="1">
      <alignment horizontal="center" shrinkToFit="0" vertical="center" wrapText="0"/>
    </xf>
    <xf borderId="2" fillId="6" fontId="34" numFmtId="0" xfId="0" applyAlignment="1" applyBorder="1" applyFont="1">
      <alignment horizontal="center" readingOrder="0" shrinkToFit="0" vertical="center" wrapText="0"/>
    </xf>
    <xf borderId="2" fillId="25" fontId="35" numFmtId="0" xfId="0" applyAlignment="1" applyBorder="1" applyFont="1">
      <alignment horizontal="center" readingOrder="0" shrinkToFit="0" vertical="center" wrapText="0"/>
    </xf>
    <xf borderId="2" fillId="25" fontId="14" numFmtId="0" xfId="0" applyAlignment="1" applyBorder="1" applyFont="1">
      <alignment horizontal="center" readingOrder="0" shrinkToFit="0" vertical="center" wrapText="0"/>
    </xf>
    <xf borderId="2" fillId="25" fontId="10" numFmtId="0" xfId="0" applyAlignment="1" applyBorder="1" applyFont="1">
      <alignment horizontal="center" readingOrder="0" shrinkToFit="0" vertical="center" wrapText="0"/>
    </xf>
    <xf borderId="2" fillId="25" fontId="34" numFmtId="0" xfId="0" applyAlignment="1" applyBorder="1" applyFont="1">
      <alignment horizontal="center" readingOrder="0" shrinkToFit="0" vertical="center" wrapText="0"/>
    </xf>
    <xf borderId="2" fillId="25" fontId="34" numFmtId="0" xfId="0" applyAlignment="1" applyBorder="1" applyFont="1">
      <alignment horizontal="center" shrinkToFit="0" vertical="center" wrapText="0"/>
    </xf>
    <xf borderId="0" fillId="25" fontId="35" numFmtId="0" xfId="0" applyAlignment="1" applyFont="1">
      <alignment horizontal="center" shrinkToFit="0" vertical="center" wrapText="0"/>
    </xf>
    <xf borderId="0" fillId="25" fontId="14" numFmtId="0" xfId="0" applyAlignment="1" applyFont="1">
      <alignment horizontal="center" readingOrder="0" shrinkToFit="0" vertical="center" wrapText="0"/>
    </xf>
    <xf borderId="2" fillId="6" fontId="34" numFmtId="0" xfId="0" applyAlignment="1" applyBorder="1" applyFont="1">
      <alignment horizontal="center" shrinkToFit="0" vertical="center" wrapText="0"/>
    </xf>
    <xf borderId="2" fillId="25" fontId="35" numFmtId="0" xfId="0" applyAlignment="1" applyBorder="1" applyFont="1">
      <alignment horizontal="center" shrinkToFit="0" vertical="center" wrapText="0"/>
    </xf>
    <xf borderId="2" fillId="25" fontId="10" numFmtId="0" xfId="0" applyAlignment="1" applyBorder="1" applyFont="1">
      <alignment horizontal="center" shrinkToFit="0" vertical="center" wrapText="0"/>
    </xf>
    <xf borderId="6" fillId="8" fontId="19" numFmtId="0" xfId="0" applyAlignment="1" applyBorder="1" applyFont="1">
      <alignment shrinkToFit="0" vertical="center" wrapText="0"/>
    </xf>
    <xf borderId="7" fillId="8" fontId="19" numFmtId="0" xfId="0" applyAlignment="1" applyBorder="1" applyFont="1">
      <alignment shrinkToFit="0" vertical="center" wrapText="0"/>
    </xf>
    <xf borderId="2" fillId="8" fontId="36" numFmtId="0" xfId="0" applyAlignment="1" applyBorder="1" applyFont="1">
      <alignment horizontal="center" shrinkToFit="0" vertical="center" wrapText="0"/>
    </xf>
    <xf borderId="2" fillId="8" fontId="34" numFmtId="0" xfId="0" applyAlignment="1" applyBorder="1" applyFont="1">
      <alignment horizontal="center" readingOrder="0" shrinkToFit="0" vertical="center" wrapText="0"/>
    </xf>
    <xf borderId="2" fillId="8" fontId="34" numFmtId="0" xfId="0" applyAlignment="1" applyBorder="1" applyFont="1">
      <alignment horizontal="center" shrinkToFit="0" vertical="center" wrapText="0"/>
    </xf>
    <xf borderId="8" fillId="25" fontId="19" numFmtId="0" xfId="0" applyAlignment="1" applyBorder="1" applyFont="1">
      <alignment shrinkToFit="0" vertical="center" wrapText="0"/>
    </xf>
    <xf borderId="9" fillId="25" fontId="19" numFmtId="0" xfId="0" applyAlignment="1" applyBorder="1" applyFont="1">
      <alignment shrinkToFit="0" vertical="center" wrapText="0"/>
    </xf>
    <xf borderId="2" fillId="25" fontId="37" numFmtId="0" xfId="0" applyAlignment="1" applyBorder="1" applyFont="1">
      <alignment horizontal="center" shrinkToFit="0" vertical="center" wrapText="0"/>
    </xf>
    <xf borderId="2" fillId="8" fontId="38" numFmtId="0" xfId="0" applyAlignment="1" applyBorder="1" applyFont="1">
      <alignment horizontal="center" shrinkToFit="0" vertical="center" wrapText="0"/>
    </xf>
    <xf borderId="2" fillId="25" fontId="36" numFmtId="0" xfId="0" applyAlignment="1" applyBorder="1" applyFont="1">
      <alignment horizontal="center" shrinkToFit="0" vertical="center" wrapText="0"/>
    </xf>
    <xf borderId="2" fillId="8" fontId="37" numFmtId="0" xfId="0" applyAlignment="1" applyBorder="1" applyFont="1">
      <alignment horizontal="center" shrinkToFit="0" vertical="center" wrapText="0"/>
    </xf>
    <xf borderId="2" fillId="25" fontId="38" numFmtId="0" xfId="0" applyAlignment="1" applyBorder="1" applyFont="1">
      <alignment horizontal="center" shrinkToFit="0" vertical="center" wrapText="0"/>
    </xf>
    <xf borderId="2" fillId="8" fontId="35" numFmtId="0" xfId="0" applyAlignment="1" applyBorder="1" applyFont="1">
      <alignment horizontal="center" shrinkToFit="0" vertical="center" wrapText="0"/>
    </xf>
    <xf borderId="2" fillId="8" fontId="14" numFmtId="0" xfId="0" applyAlignment="1" applyBorder="1" applyFont="1">
      <alignment horizontal="center" readingOrder="0" shrinkToFit="0" vertical="center" wrapText="0"/>
    </xf>
    <xf borderId="2" fillId="8" fontId="10" numFmtId="0" xfId="0" applyAlignment="1" applyBorder="1" applyFont="1">
      <alignment horizontal="center" shrinkToFit="0" vertical="center" wrapText="0"/>
    </xf>
    <xf borderId="2" fillId="0" fontId="34" numFmtId="0" xfId="0" applyAlignment="1" applyBorder="1" applyFont="1">
      <alignment horizontal="center" readingOrder="0" shrinkToFit="0" vertical="center" wrapText="0"/>
    </xf>
    <xf borderId="2" fillId="25" fontId="35" numFmtId="0" xfId="0" applyAlignment="1" applyBorder="1" applyFont="1">
      <alignment horizontal="center" shrinkToFit="0" wrapText="0"/>
    </xf>
    <xf borderId="2" fillId="25" fontId="14" numFmtId="0" xfId="0" applyAlignment="1" applyBorder="1" applyFont="1">
      <alignment horizontal="center" readingOrder="0" shrinkToFit="0" wrapText="0"/>
    </xf>
    <xf borderId="2" fillId="25" fontId="10" numFmtId="0" xfId="0" applyAlignment="1" applyBorder="1" applyFont="1">
      <alignment horizontal="center" shrinkToFit="0" wrapText="0"/>
    </xf>
    <xf borderId="2" fillId="0" fontId="34" numFmtId="0" xfId="0" applyAlignment="1" applyBorder="1" applyFont="1">
      <alignment horizontal="center" readingOrder="0"/>
    </xf>
    <xf borderId="2" fillId="25" fontId="34" numFmtId="0" xfId="0" applyAlignment="1" applyBorder="1" applyFont="1">
      <alignment horizontal="center" shrinkToFit="0" wrapText="0"/>
    </xf>
    <xf borderId="8" fillId="25" fontId="19" numFmtId="0" xfId="0" applyBorder="1" applyFont="1"/>
    <xf borderId="9" fillId="25" fontId="19" numFmtId="0" xfId="0" applyBorder="1" applyFont="1"/>
    <xf borderId="2" fillId="25" fontId="36" numFmtId="0" xfId="0" applyAlignment="1" applyBorder="1" applyFont="1">
      <alignment horizontal="center" shrinkToFit="0" wrapText="0"/>
    </xf>
    <xf borderId="2" fillId="0" fontId="34" numFmtId="0" xfId="0" applyAlignment="1" applyBorder="1" applyFont="1">
      <alignment horizontal="center" readingOrder="0"/>
    </xf>
    <xf borderId="0" fillId="25" fontId="34" numFmtId="0" xfId="0" applyAlignment="1" applyFont="1">
      <alignment horizontal="center" shrinkToFit="0" wrapText="0"/>
    </xf>
    <xf borderId="6" fillId="8" fontId="19" numFmtId="0" xfId="0" applyBorder="1" applyFont="1"/>
    <xf borderId="7" fillId="8" fontId="19" numFmtId="0" xfId="0" applyBorder="1" applyFont="1"/>
    <xf borderId="2" fillId="8" fontId="37" numFmtId="0" xfId="0" applyAlignment="1" applyBorder="1" applyFont="1">
      <alignment horizontal="center" shrinkToFit="0" wrapText="0"/>
    </xf>
    <xf borderId="2" fillId="25" fontId="38" numFmtId="0" xfId="0" applyAlignment="1" applyBorder="1" applyFont="1">
      <alignment horizontal="center" shrinkToFit="0" wrapText="0"/>
    </xf>
    <xf borderId="2" fillId="6" fontId="34" numFmtId="0" xfId="0" applyAlignment="1" applyBorder="1" applyFont="1">
      <alignment horizontal="center"/>
    </xf>
    <xf borderId="2" fillId="0" fontId="9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1" fillId="0" fontId="9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2" fillId="6" fontId="11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2" fillId="25" fontId="11" numFmtId="0" xfId="0" applyAlignment="1" applyBorder="1" applyFont="1">
      <alignment horizontal="center" shrinkToFit="0" wrapText="0"/>
    </xf>
    <xf borderId="0" fillId="0" fontId="39" numFmtId="0" xfId="0" applyAlignment="1" applyFont="1">
      <alignment vertical="bottom"/>
    </xf>
    <xf borderId="0" fillId="0" fontId="39" numFmtId="0" xfId="0" applyAlignment="1" applyFont="1">
      <alignment horizontal="center" vertical="bottom"/>
    </xf>
    <xf borderId="2" fillId="0" fontId="14" numFmtId="0" xfId="0" applyAlignment="1" applyBorder="1" applyFont="1">
      <alignment horizontal="center" shrinkToFit="0" vertical="bottom" wrapText="0"/>
    </xf>
    <xf borderId="2" fillId="8" fontId="14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shrinkToFit="0" vertical="bottom" wrapText="0"/>
    </xf>
    <xf borderId="2" fillId="8" fontId="11" numFmtId="0" xfId="0" applyAlignment="1" applyBorder="1" applyFont="1">
      <alignment horizontal="center" readingOrder="0" vertical="bottom"/>
    </xf>
    <xf borderId="2" fillId="8" fontId="11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vertical="bottom"/>
    </xf>
    <xf borderId="0" fillId="25" fontId="19" numFmtId="0" xfId="0" applyAlignment="1" applyFont="1">
      <alignment vertical="bottom"/>
    </xf>
    <xf borderId="2" fillId="6" fontId="11" numFmtId="0" xfId="0" applyAlignment="1" applyBorder="1" applyFont="1">
      <alignment horizontal="center" vertical="bottom"/>
    </xf>
    <xf borderId="2" fillId="25" fontId="11" numFmtId="0" xfId="0" applyAlignment="1" applyBorder="1" applyFont="1">
      <alignment horizontal="center" shrinkToFit="0" vertical="bottom" wrapText="0"/>
    </xf>
    <xf borderId="0" fillId="8" fontId="19" numFmtId="0" xfId="0" applyAlignment="1" applyFont="1">
      <alignment vertical="bottom"/>
    </xf>
    <xf borderId="2" fillId="25" fontId="11" numFmtId="0" xfId="0" applyAlignment="1" applyBorder="1" applyFont="1">
      <alignment horizontal="center" vertical="bottom"/>
    </xf>
    <xf borderId="0" fillId="0" fontId="39" numFmtId="166" xfId="0" applyAlignment="1" applyFont="1" applyNumberFormat="1">
      <alignment vertical="bottom"/>
    </xf>
    <xf borderId="0" fillId="0" fontId="39" numFmtId="166" xfId="0" applyAlignment="1" applyFont="1" applyNumberFormat="1">
      <alignment horizontal="center" vertical="bottom"/>
    </xf>
    <xf borderId="0" fillId="0" fontId="39" numFmtId="0" xfId="0" applyAlignment="1" applyFont="1">
      <alignment horizontal="center" readingOrder="0" vertical="bottom"/>
    </xf>
    <xf borderId="2" fillId="25" fontId="11" numFmtId="0" xfId="0" applyAlignment="1" applyBorder="1" applyFont="1">
      <alignment horizontal="center" readingOrder="0" vertical="bottom"/>
    </xf>
    <xf borderId="2" fillId="25" fontId="10" numFmtId="0" xfId="0" applyAlignment="1" applyBorder="1" applyFont="1">
      <alignment horizontal="center" vertical="bottom"/>
    </xf>
    <xf borderId="2" fillId="25" fontId="10" numFmtId="0" xfId="0" applyAlignment="1" applyBorder="1" applyFont="1">
      <alignment horizontal="center" shrinkToFit="0" vertical="bottom" wrapText="0"/>
    </xf>
    <xf borderId="2" fillId="6" fontId="10" numFmtId="0" xfId="0" applyAlignment="1" applyBorder="1" applyFont="1">
      <alignment horizontal="center" readingOrder="0" vertical="bottom"/>
    </xf>
    <xf borderId="2" fillId="8" fontId="10" numFmtId="0" xfId="0" applyAlignment="1" applyBorder="1" applyFont="1">
      <alignment horizontal="center" shrinkToFit="0" vertical="bottom" wrapText="0"/>
    </xf>
    <xf borderId="2" fillId="6" fontId="10" numFmtId="0" xfId="0" applyAlignment="1" applyBorder="1" applyFont="1">
      <alignment horizontal="center" vertical="bottom"/>
    </xf>
    <xf borderId="2" fillId="8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0" fillId="8" fontId="14" numFmtId="0" xfId="0" applyAlignment="1" applyFont="1">
      <alignment horizontal="center" vertical="bottom"/>
    </xf>
    <xf borderId="0" fillId="25" fontId="14" numFmtId="0" xfId="0" applyAlignment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0" fillId="25" fontId="14" numFmtId="0" xfId="0" applyAlignment="1" applyFont="1">
      <alignment horizontal="center" readingOrder="0" vertical="bottom"/>
    </xf>
    <xf borderId="2" fillId="8" fontId="14" numFmtId="0" xfId="0" applyAlignment="1" applyBorder="1" applyFont="1">
      <alignment horizontal="center" readingOrder="0" vertical="bottom"/>
    </xf>
    <xf borderId="2" fillId="25" fontId="10" numFmtId="0" xfId="0" applyAlignment="1" applyBorder="1" applyFont="1">
      <alignment horizontal="center" readingOrder="0" vertical="bottom"/>
    </xf>
    <xf borderId="2" fillId="0" fontId="19" numFmtId="0" xfId="0" applyAlignment="1" applyBorder="1" applyFont="1">
      <alignment vertical="bottom"/>
    </xf>
    <xf borderId="2" fillId="25" fontId="14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25" fontId="10" numFmtId="0" xfId="0" applyAlignment="1" applyFont="1">
      <alignment horizontal="center" vertical="bottom"/>
    </xf>
    <xf borderId="0" fillId="25" fontId="10" numFmtId="0" xfId="0" applyAlignment="1" applyFont="1">
      <alignment horizontal="center" shrinkToFit="0" vertical="bottom" wrapText="0"/>
    </xf>
    <xf borderId="0" fillId="0" fontId="4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shrinkToFit="0" vertical="center" wrapText="0"/>
    </xf>
    <xf borderId="2" fillId="8" fontId="9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shrinkToFit="0" vertical="center" wrapText="0"/>
    </xf>
    <xf borderId="10" fillId="0" fontId="19" numFmtId="0" xfId="0" applyAlignment="1" applyBorder="1" applyFont="1">
      <alignment shrinkToFit="0" vertical="center" wrapText="0"/>
    </xf>
    <xf borderId="2" fillId="25" fontId="9" numFmtId="0" xfId="0" applyAlignment="1" applyBorder="1" applyFont="1">
      <alignment horizontal="center" readingOrder="0" shrinkToFit="0" vertical="center" wrapText="0"/>
    </xf>
    <xf borderId="11" fillId="0" fontId="19" numFmtId="0" xfId="0" applyAlignment="1" applyBorder="1" applyFont="1">
      <alignment shrinkToFit="0" vertical="center" wrapText="0"/>
    </xf>
    <xf borderId="12" fillId="8" fontId="19" numFmtId="0" xfId="0" applyAlignment="1" applyBorder="1" applyFont="1">
      <alignment shrinkToFit="0" vertical="center" wrapText="0"/>
    </xf>
    <xf borderId="13" fillId="0" fontId="19" numFmtId="0" xfId="0" applyAlignment="1" applyBorder="1" applyFont="1">
      <alignment shrinkToFit="0" vertical="center" wrapText="0"/>
    </xf>
    <xf borderId="9" fillId="25" fontId="9" numFmtId="0" xfId="0" applyAlignment="1" applyBorder="1" applyFont="1">
      <alignment horizontal="center" readingOrder="0" shrinkToFit="0" vertical="center" wrapText="0"/>
    </xf>
    <xf borderId="9" fillId="25" fontId="40" numFmtId="0" xfId="0" applyAlignment="1" applyBorder="1" applyFont="1">
      <alignment shrinkToFit="0" vertical="center" wrapText="0"/>
    </xf>
    <xf borderId="7" fillId="8" fontId="40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A42048"/>
          <bgColor rgb="FFA4204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42048"/>
        </left>
        <right style="thin">
          <color rgb="FFA42048"/>
        </right>
        <top style="thin">
          <color rgb="FFA42048"/>
        </top>
        <bottom style="thin">
          <color rgb="FFA42048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8">
    <tableStyle count="4" pivot="0" name="SAMSU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PHO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TORO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OTOROLA-style 2">
      <tableStyleElement dxfId="3" type="firstRowStripe"/>
      <tableStyleElement dxfId="2" type="secondRowStripe"/>
    </tableStyle>
    <tableStyle count="2" pivot="0" name="MOTOROLA-style 3">
      <tableStyleElement dxfId="2" type="firstRowStripe"/>
      <tableStyleElement dxfId="3" type="secondRowStripe"/>
    </tableStyle>
    <tableStyle count="2" pivot="0" name="MOTOROLA-style 4">
      <tableStyleElement dxfId="2" type="firstRowStripe"/>
      <tableStyleElement dxfId="3" type="secondRowStripe"/>
    </tableStyle>
    <tableStyle count="2" pivot="0" name="MOTOROLA-style 5">
      <tableStyleElement dxfId="2" type="firstRowStripe"/>
      <tableStyleElement dxfId="3" type="secondRowStripe"/>
    </tableStyle>
    <tableStyle count="4" pivot="0" name="XIAOMI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9" displayName="LISTA_DE_PRECIOS_MODOTECNO" name="LISTA_DE_PRECIOS_MODOTECNO" id="1">
  <tableColumns count="5">
    <tableColumn name="MARCA" id="1"/>
    <tableColumn name="MODELO" id="2"/>
    <tableColumn name="REPARACION" id="3"/>
    <tableColumn name="EFECTIVO" id="4"/>
    <tableColumn name="TARJETA" id="5"/>
  </tableColumns>
  <tableStyleInfo name="SAMSUNG-style" showColumnStripes="0" showFirstColumn="1" showLastColumn="1" showRowStripes="1"/>
</table>
</file>

<file path=xl/tables/table2.xml><?xml version="1.0" encoding="utf-8"?>
<table xmlns="http://schemas.openxmlformats.org/spreadsheetml/2006/main" ref="A1:E187" displayName="IPHONE" name="IPHONE" id="2">
  <tableColumns count="5">
    <tableColumn name="MARCA" id="1"/>
    <tableColumn name="MODELO" id="2"/>
    <tableColumn name="REPARACION" id="3"/>
    <tableColumn name="EFECTIVO" id="4"/>
    <tableColumn name="TARJETA" id="5"/>
  </tableColumns>
  <tableStyleInfo name="IPHONE-style" showColumnStripes="0" showFirstColumn="1" showLastColumn="1" showRowStripes="1"/>
</table>
</file>

<file path=xl/tables/table3.xml><?xml version="1.0" encoding="utf-8"?>
<table xmlns="http://schemas.openxmlformats.org/spreadsheetml/2006/main" ref="A1:E184" displayName="MOTOROLA" name="MOTOROLA" id="3">
  <tableColumns count="5">
    <tableColumn name="MARCA" id="1"/>
    <tableColumn name="MODELO" id="2"/>
    <tableColumn name="REPARACION" id="3"/>
    <tableColumn name="EFECTIVO" id="4"/>
    <tableColumn name="TARJETA" id="5"/>
  </tableColumns>
  <tableStyleInfo name="MOTOROLA-style" showColumnStripes="0" showFirstColumn="1" showLastColumn="1" showRowStripes="1"/>
</table>
</file>

<file path=xl/tables/table4.xml><?xml version="1.0" encoding="utf-8"?>
<table xmlns="http://schemas.openxmlformats.org/spreadsheetml/2006/main" headerRowCount="0" ref="A186:H262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OTOROLA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63:E314" displayName="Table_2" name="Table_2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MOTOROLA-style 3" showColumnStripes="0" showFirstColumn="1" showLastColumn="1" showRowStripes="1"/>
</table>
</file>

<file path=xl/tables/table6.xml><?xml version="1.0" encoding="utf-8"?>
<table xmlns="http://schemas.openxmlformats.org/spreadsheetml/2006/main" headerRowCount="0" ref="F266:H288" displayName="Table_3" name="Table_3" id="6">
  <tableColumns count="3">
    <tableColumn name="Column1" id="1"/>
    <tableColumn name="Column2" id="2"/>
    <tableColumn name="Column3" id="3"/>
  </tableColumns>
  <tableStyleInfo name="MOTOROLA-style 4" showColumnStripes="0" showFirstColumn="1" showLastColumn="1" showRowStripes="1"/>
</table>
</file>

<file path=xl/tables/table7.xml><?xml version="1.0" encoding="utf-8"?>
<table xmlns="http://schemas.openxmlformats.org/spreadsheetml/2006/main" headerRowCount="0" ref="F291:H296" displayName="Table_4" name="Table_4" id="7">
  <tableColumns count="3">
    <tableColumn name="Column1" id="1"/>
    <tableColumn name="Column2" id="2"/>
    <tableColumn name="Column3" id="3"/>
  </tableColumns>
  <tableStyleInfo name="MOTOROLA-style 5" showColumnStripes="0" showFirstColumn="1" showLastColumn="1" showRowStripes="1"/>
</table>
</file>

<file path=xl/tables/table8.xml><?xml version="1.0" encoding="utf-8"?>
<table xmlns="http://schemas.openxmlformats.org/spreadsheetml/2006/main" ref="A1:E1147" displayName="XIAOMI" name="XIAOMI" id="8">
  <tableColumns count="5">
    <tableColumn name="MARCA" id="1"/>
    <tableColumn name="MODELO" id="2"/>
    <tableColumn name="REPARACION" id="3"/>
    <tableColumn name="EFECTIVO" id="4"/>
    <tableColumn name="TARJETA" id="5"/>
  </tableColumns>
  <tableStyleInfo name="XIAOM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9.63"/>
    <col customWidth="1" min="3" max="3" width="20.5"/>
    <col customWidth="1" min="4" max="4" width="21.88"/>
    <col customWidth="1" min="5" max="5" width="20.38"/>
    <col customWidth="1" min="6" max="6" width="14.0"/>
    <col customWidth="1" min="7" max="7" width="15.88"/>
    <col customWidth="1" min="8" max="8" width="14.38"/>
    <col customWidth="1" min="10" max="10" width="31.13"/>
    <col customWidth="1" min="11" max="11" width="13.5"/>
    <col customWidth="1" min="13" max="13" width="30.75"/>
  </cols>
  <sheetData>
    <row r="1">
      <c r="A1" s="1" t="s">
        <v>0</v>
      </c>
      <c r="B1" s="2"/>
      <c r="C1" s="3"/>
      <c r="D1" s="4"/>
      <c r="E1" s="5" t="s">
        <v>1</v>
      </c>
      <c r="F1" s="6"/>
      <c r="G1" s="2"/>
      <c r="H1" s="2"/>
      <c r="I1" s="2"/>
      <c r="J1" s="2"/>
    </row>
    <row r="2">
      <c r="A2" s="7" t="s">
        <v>2</v>
      </c>
      <c r="B2" s="8" t="s">
        <v>3</v>
      </c>
      <c r="C2" s="9"/>
      <c r="D2" s="10"/>
      <c r="F2" s="6"/>
      <c r="I2" s="2"/>
      <c r="J2" s="11"/>
      <c r="K2" s="2"/>
      <c r="L2" s="2"/>
    </row>
    <row r="3">
      <c r="A3" s="12"/>
      <c r="B3" s="4"/>
      <c r="C3" s="9"/>
      <c r="D3" s="13"/>
      <c r="E3" s="14"/>
      <c r="F3" s="6"/>
      <c r="G3" s="14"/>
      <c r="H3" s="14"/>
      <c r="I3" s="15"/>
      <c r="J3" s="4"/>
      <c r="K3" s="14"/>
      <c r="L3" s="2"/>
      <c r="M3" s="14"/>
      <c r="N3" s="4"/>
    </row>
    <row r="4">
      <c r="A4" s="16" t="s">
        <v>4</v>
      </c>
      <c r="B4" s="17" t="s">
        <v>5</v>
      </c>
      <c r="C4" s="18" t="s">
        <v>6</v>
      </c>
      <c r="D4" s="4"/>
      <c r="H4" s="14"/>
      <c r="I4" s="15"/>
      <c r="J4" s="4"/>
      <c r="K4" s="14"/>
      <c r="L4" s="2"/>
      <c r="M4" s="4"/>
      <c r="N4" s="4"/>
    </row>
    <row r="5">
      <c r="A5" s="19" t="s">
        <v>7</v>
      </c>
      <c r="B5" s="17">
        <v>41500.0</v>
      </c>
      <c r="C5" s="18">
        <v>45500.0</v>
      </c>
      <c r="D5" s="4"/>
      <c r="H5" s="20"/>
      <c r="I5" s="15"/>
      <c r="J5" s="15"/>
      <c r="K5" s="15"/>
      <c r="L5" s="2"/>
      <c r="M5" s="15"/>
      <c r="N5" s="15"/>
    </row>
    <row r="6">
      <c r="A6" s="21" t="s">
        <v>8</v>
      </c>
      <c r="B6" s="17">
        <v>41500.0</v>
      </c>
      <c r="C6" s="18">
        <f t="shared" ref="C6:C15" si="1">(B6*1.1)</f>
        <v>45650</v>
      </c>
      <c r="D6" s="4"/>
      <c r="H6" s="20"/>
      <c r="I6" s="15"/>
      <c r="J6" s="22"/>
      <c r="K6" s="15"/>
      <c r="L6" s="2"/>
      <c r="M6" s="15"/>
      <c r="N6" s="15"/>
    </row>
    <row r="7">
      <c r="A7" s="23" t="s">
        <v>9</v>
      </c>
      <c r="B7" s="17">
        <v>45500.0</v>
      </c>
      <c r="C7" s="18">
        <f t="shared" si="1"/>
        <v>50050</v>
      </c>
      <c r="D7" s="4"/>
      <c r="H7" s="20"/>
      <c r="I7" s="15"/>
      <c r="J7" s="24"/>
      <c r="K7" s="15"/>
      <c r="L7" s="2"/>
      <c r="M7" s="24"/>
      <c r="N7" s="15"/>
    </row>
    <row r="8">
      <c r="A8" s="21" t="s">
        <v>10</v>
      </c>
      <c r="B8" s="17">
        <v>49500.0</v>
      </c>
      <c r="C8" s="18">
        <f t="shared" si="1"/>
        <v>54450</v>
      </c>
      <c r="D8" s="4"/>
      <c r="H8" s="20"/>
      <c r="J8" s="24"/>
      <c r="K8" s="25"/>
      <c r="L8" s="2"/>
      <c r="M8" s="15"/>
      <c r="N8" s="15"/>
    </row>
    <row r="9">
      <c r="A9" s="26" t="s">
        <v>11</v>
      </c>
      <c r="B9" s="27">
        <v>49500.0</v>
      </c>
      <c r="C9" s="18">
        <f t="shared" si="1"/>
        <v>54450</v>
      </c>
      <c r="D9" s="4"/>
      <c r="H9" s="20"/>
      <c r="J9" s="28"/>
      <c r="K9" s="15"/>
      <c r="L9" s="2"/>
      <c r="M9" s="24"/>
      <c r="N9" s="15"/>
    </row>
    <row r="10">
      <c r="A10" s="26" t="s">
        <v>12</v>
      </c>
      <c r="B10" s="29">
        <v>55000.0</v>
      </c>
      <c r="C10" s="18">
        <f t="shared" si="1"/>
        <v>60500</v>
      </c>
      <c r="D10" s="30"/>
      <c r="H10" s="20"/>
      <c r="J10" s="31"/>
      <c r="K10" s="15"/>
      <c r="L10" s="2"/>
      <c r="M10" s="15"/>
      <c r="N10" s="15"/>
    </row>
    <row r="11">
      <c r="A11" s="28" t="s">
        <v>13</v>
      </c>
      <c r="B11" s="32">
        <v>74900.0</v>
      </c>
      <c r="C11" s="33">
        <f t="shared" si="1"/>
        <v>82390</v>
      </c>
      <c r="D11" s="34"/>
      <c r="H11" s="20"/>
      <c r="J11" s="31"/>
      <c r="K11" s="15"/>
      <c r="L11" s="2"/>
      <c r="M11" s="15"/>
      <c r="N11" s="15"/>
    </row>
    <row r="12">
      <c r="A12" s="15" t="s">
        <v>14</v>
      </c>
      <c r="B12" s="33">
        <v>76600.0</v>
      </c>
      <c r="C12" s="33">
        <f t="shared" si="1"/>
        <v>84260</v>
      </c>
      <c r="D12" s="34"/>
      <c r="H12" s="15"/>
      <c r="J12" s="2"/>
      <c r="K12" s="2"/>
      <c r="L12" s="2"/>
      <c r="M12" s="15"/>
      <c r="N12" s="15"/>
    </row>
    <row r="13">
      <c r="A13" s="28" t="s">
        <v>15</v>
      </c>
      <c r="B13" s="32">
        <v>80500.0</v>
      </c>
      <c r="C13" s="33">
        <f t="shared" si="1"/>
        <v>88550</v>
      </c>
      <c r="D13" s="34"/>
      <c r="H13" s="35"/>
      <c r="J13" s="2"/>
      <c r="K13" s="2"/>
      <c r="L13" s="2"/>
      <c r="M13" s="2"/>
      <c r="N13" s="2"/>
    </row>
    <row r="14">
      <c r="A14" s="28" t="s">
        <v>16</v>
      </c>
      <c r="B14" s="32">
        <v>89700.0</v>
      </c>
      <c r="C14" s="33">
        <f t="shared" si="1"/>
        <v>98670</v>
      </c>
      <c r="D14" s="34"/>
      <c r="H14" s="15"/>
      <c r="J14" s="15"/>
      <c r="K14" s="15"/>
      <c r="L14" s="2"/>
      <c r="M14" s="15"/>
      <c r="N14" s="15"/>
    </row>
    <row r="15">
      <c r="A15" s="28" t="s">
        <v>17</v>
      </c>
      <c r="B15" s="32">
        <v>94300.0</v>
      </c>
      <c r="C15" s="33">
        <f t="shared" si="1"/>
        <v>103730</v>
      </c>
      <c r="D15" s="34"/>
      <c r="H15" s="15"/>
      <c r="J15" s="15"/>
      <c r="K15" s="15"/>
      <c r="L15" s="2"/>
      <c r="M15" s="15"/>
      <c r="N15" s="15"/>
    </row>
    <row r="16">
      <c r="A16" s="24" t="s">
        <v>18</v>
      </c>
      <c r="B16" s="32" t="s">
        <v>19</v>
      </c>
      <c r="C16" s="33" t="s">
        <v>19</v>
      </c>
      <c r="D16" s="34"/>
      <c r="J16" s="24"/>
      <c r="K16" s="15"/>
      <c r="L16" s="2"/>
      <c r="M16" s="2"/>
      <c r="N16" s="2"/>
    </row>
    <row r="17">
      <c r="A17" s="20" t="s">
        <v>20</v>
      </c>
      <c r="B17" s="32">
        <v>93800.0</v>
      </c>
      <c r="C17" s="33">
        <f t="shared" ref="C17:C27" si="2">(B17*1.1)</f>
        <v>103180</v>
      </c>
      <c r="D17" s="34"/>
      <c r="H17" s="15"/>
      <c r="J17" s="2"/>
      <c r="K17" s="2"/>
      <c r="L17" s="2"/>
      <c r="M17" s="15"/>
      <c r="N17" s="15"/>
    </row>
    <row r="18">
      <c r="A18" s="20" t="s">
        <v>21</v>
      </c>
      <c r="B18" s="17">
        <v>93800.0</v>
      </c>
      <c r="C18" s="18">
        <f t="shared" si="2"/>
        <v>103180</v>
      </c>
      <c r="D18" s="36"/>
      <c r="H18" s="20"/>
      <c r="J18" s="20"/>
      <c r="K18" s="2"/>
      <c r="L18" s="2"/>
      <c r="M18" s="15"/>
      <c r="N18" s="15"/>
    </row>
    <row r="19">
      <c r="A19" s="20" t="s">
        <v>22</v>
      </c>
      <c r="B19" s="17">
        <v>109300.0</v>
      </c>
      <c r="C19" s="18">
        <f t="shared" si="2"/>
        <v>120230</v>
      </c>
      <c r="D19" s="36"/>
      <c r="H19" s="15"/>
      <c r="J19" s="15"/>
      <c r="K19" s="15"/>
      <c r="L19" s="2"/>
      <c r="M19" s="15"/>
      <c r="N19" s="15"/>
    </row>
    <row r="20">
      <c r="A20" s="28" t="s">
        <v>23</v>
      </c>
      <c r="B20" s="17">
        <v>148580.0</v>
      </c>
      <c r="C20" s="18">
        <f t="shared" si="2"/>
        <v>163438</v>
      </c>
      <c r="D20" s="36"/>
      <c r="H20" s="20"/>
      <c r="J20" s="2"/>
      <c r="K20" s="2"/>
      <c r="L20" s="2"/>
      <c r="M20" s="15"/>
      <c r="N20" s="15"/>
    </row>
    <row r="21">
      <c r="A21" s="28" t="s">
        <v>24</v>
      </c>
      <c r="B21" s="17">
        <v>114300.0</v>
      </c>
      <c r="C21" s="18">
        <f t="shared" si="2"/>
        <v>125730</v>
      </c>
      <c r="D21" s="36"/>
      <c r="H21" s="20"/>
      <c r="J21" s="15"/>
      <c r="K21" s="15"/>
      <c r="L21" s="2"/>
      <c r="M21" s="15"/>
      <c r="N21" s="15"/>
    </row>
    <row r="22">
      <c r="A22" s="26" t="s">
        <v>25</v>
      </c>
      <c r="B22" s="17">
        <v>39500.0</v>
      </c>
      <c r="C22" s="18">
        <f t="shared" si="2"/>
        <v>43450</v>
      </c>
      <c r="D22" s="36"/>
      <c r="H22" s="20"/>
      <c r="J22" s="15"/>
      <c r="K22" s="15"/>
      <c r="L22" s="2"/>
      <c r="M22" s="15"/>
      <c r="N22" s="15"/>
    </row>
    <row r="23">
      <c r="A23" s="21" t="s">
        <v>26</v>
      </c>
      <c r="B23" s="17">
        <v>39500.0</v>
      </c>
      <c r="C23" s="18">
        <f t="shared" si="2"/>
        <v>43450</v>
      </c>
      <c r="D23" s="36"/>
      <c r="H23" s="15"/>
      <c r="I23" s="15"/>
      <c r="L23" s="2"/>
      <c r="M23" s="15"/>
      <c r="N23" s="15"/>
    </row>
    <row r="24">
      <c r="A24" s="19" t="s">
        <v>27</v>
      </c>
      <c r="B24" s="17">
        <v>45500.0</v>
      </c>
      <c r="C24" s="18">
        <f t="shared" si="2"/>
        <v>50050</v>
      </c>
      <c r="D24" s="36"/>
      <c r="H24" s="20"/>
      <c r="I24" s="15"/>
      <c r="J24" s="15"/>
      <c r="K24" s="15"/>
      <c r="L24" s="2"/>
      <c r="M24" s="15"/>
      <c r="N24" s="15"/>
    </row>
    <row r="25">
      <c r="A25" s="23" t="s">
        <v>28</v>
      </c>
      <c r="B25" s="17">
        <v>49500.0</v>
      </c>
      <c r="C25" s="18">
        <f t="shared" si="2"/>
        <v>54450</v>
      </c>
      <c r="D25" s="36"/>
      <c r="H25" s="15"/>
      <c r="I25" s="15"/>
      <c r="J25" s="15"/>
      <c r="K25" s="15"/>
      <c r="L25" s="2"/>
      <c r="M25" s="15"/>
      <c r="N25" s="15"/>
    </row>
    <row r="26">
      <c r="A26" s="21" t="s">
        <v>29</v>
      </c>
      <c r="B26" s="17">
        <v>49500.0</v>
      </c>
      <c r="C26" s="18">
        <f t="shared" si="2"/>
        <v>54450</v>
      </c>
      <c r="D26" s="36"/>
      <c r="H26" s="15"/>
      <c r="I26" s="15"/>
      <c r="J26" s="24"/>
      <c r="K26" s="15"/>
      <c r="L26" s="2"/>
      <c r="M26" s="15"/>
      <c r="N26" s="15"/>
    </row>
    <row r="27">
      <c r="A27" s="21" t="s">
        <v>30</v>
      </c>
      <c r="B27" s="17">
        <v>51800.0</v>
      </c>
      <c r="C27" s="18">
        <f t="shared" si="2"/>
        <v>56980</v>
      </c>
      <c r="D27" s="36"/>
      <c r="E27" s="5" t="s">
        <v>31</v>
      </c>
      <c r="H27" s="15"/>
      <c r="I27" s="15"/>
      <c r="J27" s="24"/>
      <c r="K27" s="15"/>
      <c r="L27" s="2"/>
      <c r="M27" s="24"/>
      <c r="N27" s="15"/>
    </row>
    <row r="28">
      <c r="A28" s="21" t="s">
        <v>32</v>
      </c>
      <c r="B28" s="17">
        <v>54000.0</v>
      </c>
      <c r="C28" s="18">
        <v>59000.0</v>
      </c>
      <c r="D28" s="36"/>
      <c r="H28" s="2"/>
      <c r="I28" s="15"/>
      <c r="J28" s="22"/>
      <c r="K28" s="15"/>
      <c r="L28" s="2"/>
      <c r="M28" s="5"/>
      <c r="N28" s="15"/>
    </row>
    <row r="29">
      <c r="A29" s="24" t="s">
        <v>33</v>
      </c>
      <c r="B29" s="37">
        <v>52000.0</v>
      </c>
      <c r="C29" s="37">
        <f t="shared" ref="C29:C32" si="3">(B29*1.1)</f>
        <v>57200</v>
      </c>
      <c r="D29" s="36"/>
      <c r="E29" s="38"/>
      <c r="F29" s="39"/>
      <c r="G29" s="38"/>
      <c r="H29" s="2"/>
      <c r="I29" s="15"/>
      <c r="J29" s="22"/>
      <c r="K29" s="15"/>
      <c r="L29" s="2"/>
      <c r="M29" s="5"/>
      <c r="N29" s="15"/>
    </row>
    <row r="30">
      <c r="A30" s="15" t="s">
        <v>34</v>
      </c>
      <c r="B30" s="17">
        <v>88500.0</v>
      </c>
      <c r="C30" s="18">
        <f t="shared" si="3"/>
        <v>97350</v>
      </c>
      <c r="D30" s="36"/>
      <c r="E30" s="38"/>
      <c r="F30" s="39"/>
      <c r="G30" s="38"/>
      <c r="H30" s="20"/>
      <c r="I30" s="15"/>
      <c r="J30" s="15"/>
      <c r="K30" s="15"/>
      <c r="L30" s="2"/>
      <c r="M30" s="15"/>
      <c r="N30" s="15"/>
    </row>
    <row r="31">
      <c r="A31" s="28" t="s">
        <v>35</v>
      </c>
      <c r="B31" s="17">
        <v>48000.0</v>
      </c>
      <c r="C31" s="18">
        <f t="shared" si="3"/>
        <v>52800</v>
      </c>
      <c r="D31" s="36"/>
      <c r="E31" s="40" t="s">
        <v>36</v>
      </c>
      <c r="F31" s="39"/>
      <c r="G31" s="38"/>
      <c r="H31" s="15"/>
      <c r="I31" s="15"/>
      <c r="J31" s="15"/>
      <c r="K31" s="15"/>
      <c r="L31" s="2"/>
      <c r="M31" s="15"/>
      <c r="N31" s="15"/>
    </row>
    <row r="32">
      <c r="A32" s="15" t="s">
        <v>37</v>
      </c>
      <c r="B32" s="17">
        <v>53000.0</v>
      </c>
      <c r="C32" s="18">
        <f t="shared" si="3"/>
        <v>58300</v>
      </c>
      <c r="D32" s="36"/>
      <c r="E32" s="38"/>
      <c r="F32" s="39"/>
      <c r="G32" s="38"/>
      <c r="H32" s="20"/>
      <c r="I32" s="15"/>
      <c r="J32" s="15"/>
      <c r="K32" s="15"/>
      <c r="L32" s="2"/>
      <c r="M32" s="15"/>
      <c r="N32" s="15"/>
    </row>
    <row r="33">
      <c r="A33" s="41" t="s">
        <v>38</v>
      </c>
      <c r="B33" s="17"/>
      <c r="C33" s="18"/>
      <c r="D33" s="42"/>
      <c r="E33" s="38"/>
      <c r="F33" s="39"/>
      <c r="G33" s="38"/>
      <c r="H33" s="20"/>
      <c r="I33" s="15"/>
      <c r="J33" s="15"/>
      <c r="K33" s="15"/>
      <c r="L33" s="2"/>
      <c r="M33" s="15"/>
      <c r="N33" s="15"/>
    </row>
    <row r="34">
      <c r="A34" s="20" t="s">
        <v>39</v>
      </c>
      <c r="B34" s="17">
        <v>53000.0</v>
      </c>
      <c r="C34" s="18">
        <f t="shared" ref="C34:C140" si="4">(B34*1.1)</f>
        <v>58300</v>
      </c>
      <c r="D34" s="36"/>
      <c r="E34" s="38"/>
      <c r="F34" s="39"/>
      <c r="G34" s="38"/>
      <c r="H34" s="20"/>
      <c r="I34" s="15"/>
      <c r="J34" s="15"/>
      <c r="K34" s="15"/>
      <c r="L34" s="2"/>
      <c r="M34" s="15"/>
      <c r="N34" s="15"/>
    </row>
    <row r="35">
      <c r="A35" s="43" t="s">
        <v>40</v>
      </c>
      <c r="B35" s="44"/>
      <c r="C35" s="44">
        <f t="shared" si="4"/>
        <v>0</v>
      </c>
      <c r="D35" s="36"/>
      <c r="E35" s="38"/>
      <c r="F35" s="39"/>
      <c r="G35" s="38"/>
      <c r="H35" s="15"/>
      <c r="I35" s="15"/>
      <c r="J35" s="15"/>
      <c r="K35" s="15"/>
      <c r="L35" s="2"/>
      <c r="M35" s="15"/>
      <c r="N35" s="15"/>
    </row>
    <row r="36">
      <c r="A36" s="45" t="s">
        <v>41</v>
      </c>
      <c r="B36" s="17">
        <v>95500.0</v>
      </c>
      <c r="C36" s="18">
        <f t="shared" si="4"/>
        <v>105050</v>
      </c>
      <c r="D36" s="36"/>
      <c r="E36" s="38"/>
      <c r="F36" s="39"/>
      <c r="G36" s="38"/>
      <c r="H36" s="15"/>
      <c r="I36" s="15"/>
      <c r="J36" s="24"/>
      <c r="K36" s="15"/>
      <c r="L36" s="2"/>
      <c r="M36" s="24"/>
      <c r="N36" s="15"/>
    </row>
    <row r="37">
      <c r="A37" s="46" t="s">
        <v>42</v>
      </c>
      <c r="B37" s="37">
        <v>95500.0</v>
      </c>
      <c r="C37" s="37">
        <f t="shared" si="4"/>
        <v>105050</v>
      </c>
      <c r="D37" s="36"/>
      <c r="E37" s="38"/>
      <c r="F37" s="39"/>
      <c r="G37" s="38"/>
      <c r="H37" s="15"/>
      <c r="I37" s="15"/>
      <c r="J37" s="15"/>
      <c r="K37" s="15"/>
      <c r="L37" s="2"/>
      <c r="M37" s="24"/>
      <c r="N37" s="15"/>
    </row>
    <row r="38">
      <c r="A38" s="47" t="s">
        <v>43</v>
      </c>
      <c r="B38" s="17">
        <v>79000.0</v>
      </c>
      <c r="C38" s="18">
        <f t="shared" si="4"/>
        <v>86900</v>
      </c>
      <c r="D38" s="36"/>
      <c r="E38" s="17">
        <v>95500.0</v>
      </c>
      <c r="F38" s="39"/>
      <c r="G38" s="38"/>
      <c r="I38" s="15"/>
      <c r="J38" s="15"/>
      <c r="K38" s="15"/>
      <c r="L38" s="2"/>
      <c r="M38" s="24"/>
      <c r="N38" s="15"/>
    </row>
    <row r="39">
      <c r="A39" s="48" t="s">
        <v>44</v>
      </c>
      <c r="B39" s="37">
        <v>107000.0</v>
      </c>
      <c r="C39" s="37">
        <f t="shared" si="4"/>
        <v>117700</v>
      </c>
      <c r="D39" s="36"/>
      <c r="E39" s="49"/>
      <c r="F39" s="39"/>
      <c r="G39" s="38"/>
      <c r="I39" s="15"/>
      <c r="J39" s="15"/>
      <c r="K39" s="15"/>
      <c r="L39" s="2"/>
      <c r="M39" s="24"/>
      <c r="N39" s="15"/>
    </row>
    <row r="40">
      <c r="A40" s="24" t="s">
        <v>45</v>
      </c>
      <c r="B40" s="17">
        <v>65000.0</v>
      </c>
      <c r="C40" s="18">
        <f t="shared" si="4"/>
        <v>71500</v>
      </c>
      <c r="D40" s="36"/>
      <c r="H40" s="20"/>
      <c r="I40" s="15"/>
      <c r="J40" s="15"/>
      <c r="K40" s="15"/>
      <c r="L40" s="2"/>
      <c r="M40" s="15"/>
      <c r="N40" s="15"/>
    </row>
    <row r="41">
      <c r="A41" s="24" t="s">
        <v>46</v>
      </c>
      <c r="B41" s="37">
        <v>64500.0</v>
      </c>
      <c r="C41" s="37">
        <f t="shared" si="4"/>
        <v>70950</v>
      </c>
      <c r="D41" s="36"/>
      <c r="H41" s="20"/>
      <c r="I41" s="15"/>
      <c r="J41" s="15"/>
      <c r="K41" s="15"/>
      <c r="L41" s="2"/>
      <c r="M41" s="15"/>
      <c r="N41" s="15"/>
    </row>
    <row r="42">
      <c r="A42" s="43" t="s">
        <v>47</v>
      </c>
      <c r="B42" s="37">
        <v>130500.0</v>
      </c>
      <c r="C42" s="37">
        <f t="shared" si="4"/>
        <v>143550</v>
      </c>
      <c r="D42" s="36"/>
      <c r="H42" s="15"/>
      <c r="I42" s="15"/>
      <c r="J42" s="15"/>
      <c r="K42" s="15"/>
      <c r="L42" s="2"/>
      <c r="M42" s="24"/>
      <c r="N42" s="15"/>
    </row>
    <row r="43">
      <c r="A43" s="28" t="s">
        <v>48</v>
      </c>
      <c r="B43" s="17">
        <v>173600.0</v>
      </c>
      <c r="C43" s="18">
        <f t="shared" si="4"/>
        <v>190960</v>
      </c>
      <c r="D43" s="36"/>
      <c r="H43" s="15"/>
      <c r="I43" s="15"/>
      <c r="J43" s="15"/>
      <c r="K43" s="15"/>
      <c r="L43" s="2"/>
      <c r="M43" s="24"/>
      <c r="N43" s="15"/>
    </row>
    <row r="44">
      <c r="A44" s="28" t="s">
        <v>49</v>
      </c>
      <c r="B44" s="17">
        <v>88500.0</v>
      </c>
      <c r="C44" s="18">
        <f t="shared" si="4"/>
        <v>97350</v>
      </c>
      <c r="D44" s="36"/>
      <c r="H44" s="15"/>
      <c r="I44" s="15"/>
      <c r="J44" s="15"/>
      <c r="K44" s="15"/>
      <c r="L44" s="2"/>
      <c r="M44" s="24"/>
      <c r="N44" s="15"/>
    </row>
    <row r="45">
      <c r="A45" s="20" t="s">
        <v>50</v>
      </c>
      <c r="B45" s="17">
        <v>88500.0</v>
      </c>
      <c r="C45" s="18">
        <f t="shared" si="4"/>
        <v>97350</v>
      </c>
      <c r="D45" s="36"/>
      <c r="H45" s="15"/>
      <c r="I45" s="15"/>
      <c r="J45" s="15"/>
      <c r="K45" s="15"/>
      <c r="L45" s="2"/>
      <c r="M45" s="15"/>
      <c r="N45" s="15"/>
    </row>
    <row r="46">
      <c r="A46" s="24" t="s">
        <v>51</v>
      </c>
      <c r="B46" s="37">
        <v>101800.0</v>
      </c>
      <c r="C46" s="37">
        <f t="shared" si="4"/>
        <v>111980</v>
      </c>
      <c r="D46" s="36"/>
      <c r="H46" s="15"/>
      <c r="I46" s="15"/>
      <c r="J46" s="15"/>
      <c r="K46" s="15"/>
      <c r="L46" s="2"/>
      <c r="M46" s="15"/>
      <c r="N46" s="15"/>
    </row>
    <row r="47">
      <c r="A47" s="24" t="s">
        <v>52</v>
      </c>
      <c r="B47" s="17">
        <v>93000.0</v>
      </c>
      <c r="C47" s="18">
        <f t="shared" si="4"/>
        <v>102300</v>
      </c>
      <c r="D47" s="36"/>
      <c r="H47" s="15"/>
      <c r="I47" s="15"/>
      <c r="J47" s="15"/>
      <c r="K47" s="15"/>
      <c r="L47" s="2"/>
      <c r="M47" s="15"/>
      <c r="N47" s="15"/>
    </row>
    <row r="48">
      <c r="A48" s="41" t="s">
        <v>53</v>
      </c>
      <c r="B48" s="17"/>
      <c r="C48" s="18">
        <f t="shared" si="4"/>
        <v>0</v>
      </c>
      <c r="D48" s="36"/>
      <c r="H48" s="20"/>
      <c r="J48" s="24"/>
      <c r="K48" s="2"/>
      <c r="L48" s="2"/>
      <c r="M48" s="15"/>
      <c r="N48" s="15"/>
    </row>
    <row r="49">
      <c r="A49" s="28" t="s">
        <v>54</v>
      </c>
      <c r="B49" s="17">
        <v>230000.0</v>
      </c>
      <c r="C49" s="18">
        <f t="shared" si="4"/>
        <v>253000</v>
      </c>
      <c r="D49" s="36"/>
      <c r="H49" s="20"/>
      <c r="J49" s="24"/>
      <c r="K49" s="2"/>
      <c r="L49" s="2"/>
      <c r="M49" s="15"/>
      <c r="N49" s="15"/>
    </row>
    <row r="50">
      <c r="A50" s="24" t="s">
        <v>55</v>
      </c>
      <c r="B50" s="17">
        <v>109900.0</v>
      </c>
      <c r="C50" s="18">
        <f t="shared" si="4"/>
        <v>120890</v>
      </c>
      <c r="D50" s="36"/>
      <c r="H50" s="15"/>
      <c r="J50" s="24"/>
      <c r="K50" s="15"/>
      <c r="L50" s="2"/>
      <c r="M50" s="15"/>
      <c r="N50" s="15"/>
    </row>
    <row r="51">
      <c r="A51" s="28" t="s">
        <v>56</v>
      </c>
      <c r="B51" s="17">
        <v>230000.0</v>
      </c>
      <c r="C51" s="18">
        <f t="shared" si="4"/>
        <v>253000</v>
      </c>
      <c r="D51" s="36"/>
      <c r="H51" s="15"/>
      <c r="J51" s="2"/>
      <c r="K51" s="2"/>
      <c r="L51" s="2"/>
      <c r="M51" s="15"/>
      <c r="N51" s="15"/>
    </row>
    <row r="52">
      <c r="A52" s="24" t="s">
        <v>57</v>
      </c>
      <c r="B52" s="17">
        <v>109900.0</v>
      </c>
      <c r="C52" s="18">
        <f t="shared" si="4"/>
        <v>120890</v>
      </c>
      <c r="D52" s="36"/>
      <c r="H52" s="15"/>
      <c r="J52" s="2"/>
      <c r="K52" s="2"/>
      <c r="L52" s="2"/>
      <c r="M52" s="15"/>
      <c r="N52" s="15"/>
    </row>
    <row r="53">
      <c r="A53" s="43" t="s">
        <v>58</v>
      </c>
      <c r="B53" s="37">
        <v>185000.0</v>
      </c>
      <c r="C53" s="37">
        <f t="shared" si="4"/>
        <v>203500</v>
      </c>
      <c r="D53" s="36"/>
      <c r="H53" s="15"/>
      <c r="J53" s="2"/>
      <c r="K53" s="2"/>
      <c r="L53" s="2"/>
      <c r="M53" s="15"/>
      <c r="N53" s="15"/>
    </row>
    <row r="54">
      <c r="A54" s="47" t="s">
        <v>59</v>
      </c>
      <c r="B54" s="17">
        <v>156500.0</v>
      </c>
      <c r="C54" s="18">
        <f t="shared" si="4"/>
        <v>172150</v>
      </c>
      <c r="D54" s="36"/>
      <c r="H54" s="15"/>
      <c r="J54" s="2"/>
      <c r="K54" s="2"/>
      <c r="L54" s="2"/>
      <c r="M54" s="15"/>
      <c r="N54" s="15"/>
    </row>
    <row r="55">
      <c r="A55" s="43" t="s">
        <v>60</v>
      </c>
      <c r="B55" s="37">
        <v>185000.0</v>
      </c>
      <c r="C55" s="37">
        <f t="shared" si="4"/>
        <v>203500</v>
      </c>
      <c r="D55" s="36"/>
      <c r="H55" s="15"/>
      <c r="J55" s="2"/>
      <c r="K55" s="2"/>
      <c r="L55" s="2"/>
      <c r="M55" s="15"/>
      <c r="N55" s="15"/>
    </row>
    <row r="56">
      <c r="A56" s="47" t="s">
        <v>61</v>
      </c>
      <c r="B56" s="17">
        <v>217300.0</v>
      </c>
      <c r="C56" s="18">
        <f t="shared" si="4"/>
        <v>239030</v>
      </c>
      <c r="D56" s="36"/>
      <c r="H56" s="15"/>
      <c r="J56" s="2"/>
      <c r="K56" s="2"/>
      <c r="L56" s="2"/>
      <c r="M56" s="15"/>
      <c r="N56" s="15"/>
    </row>
    <row r="57">
      <c r="A57" s="24" t="s">
        <v>62</v>
      </c>
      <c r="B57" s="17">
        <v>152900.0</v>
      </c>
      <c r="C57" s="18">
        <f t="shared" si="4"/>
        <v>168190</v>
      </c>
      <c r="D57" s="36"/>
      <c r="H57" s="15"/>
      <c r="J57" s="2"/>
      <c r="K57" s="2"/>
      <c r="L57" s="2"/>
      <c r="M57" s="15"/>
      <c r="N57" s="15"/>
    </row>
    <row r="58">
      <c r="A58" s="28" t="s">
        <v>63</v>
      </c>
      <c r="B58" s="17">
        <v>88500.0</v>
      </c>
      <c r="C58" s="18">
        <f t="shared" si="4"/>
        <v>97350</v>
      </c>
      <c r="D58" s="36"/>
      <c r="H58" s="20"/>
      <c r="J58" s="15"/>
      <c r="K58" s="15"/>
      <c r="L58" s="2"/>
      <c r="M58" s="15"/>
      <c r="N58" s="15"/>
    </row>
    <row r="59">
      <c r="A59" s="15" t="s">
        <v>64</v>
      </c>
      <c r="B59" s="37"/>
      <c r="C59" s="37">
        <f t="shared" si="4"/>
        <v>0</v>
      </c>
      <c r="D59" s="36"/>
      <c r="E59" s="38"/>
      <c r="F59" s="39"/>
      <c r="G59" s="38"/>
      <c r="H59" s="15"/>
      <c r="J59" s="15"/>
      <c r="K59" s="15"/>
      <c r="L59" s="2"/>
      <c r="M59" s="2"/>
      <c r="N59" s="2"/>
    </row>
    <row r="60">
      <c r="A60" s="46" t="s">
        <v>65</v>
      </c>
      <c r="B60" s="37">
        <v>143500.0</v>
      </c>
      <c r="C60" s="37">
        <f t="shared" si="4"/>
        <v>157850</v>
      </c>
      <c r="D60" s="36"/>
      <c r="E60" s="38"/>
      <c r="F60" s="39"/>
      <c r="G60" s="38"/>
      <c r="H60" s="15"/>
      <c r="J60" s="2"/>
      <c r="K60" s="2"/>
      <c r="L60" s="2"/>
      <c r="M60" s="15"/>
      <c r="N60" s="15"/>
    </row>
    <row r="61">
      <c r="A61" s="15" t="s">
        <v>66</v>
      </c>
      <c r="B61" s="17">
        <v>111500.0</v>
      </c>
      <c r="C61" s="18">
        <f t="shared" si="4"/>
        <v>122650</v>
      </c>
      <c r="D61" s="36"/>
      <c r="E61" s="38"/>
      <c r="F61" s="39"/>
      <c r="G61" s="38"/>
      <c r="H61" s="15"/>
      <c r="J61" s="15"/>
      <c r="K61" s="15"/>
      <c r="L61" s="2"/>
      <c r="M61" s="15"/>
      <c r="N61" s="15"/>
    </row>
    <row r="62">
      <c r="A62" s="43" t="s">
        <v>67</v>
      </c>
      <c r="B62" s="37">
        <v>152000.0</v>
      </c>
      <c r="C62" s="37">
        <f t="shared" si="4"/>
        <v>167200</v>
      </c>
      <c r="D62" s="36"/>
      <c r="E62" s="38"/>
      <c r="F62" s="39"/>
      <c r="G62" s="38"/>
      <c r="I62" s="2"/>
      <c r="J62" s="15"/>
      <c r="K62" s="15"/>
      <c r="L62" s="2"/>
    </row>
    <row r="63">
      <c r="A63" s="24" t="s">
        <v>68</v>
      </c>
      <c r="B63" s="17">
        <v>128500.0</v>
      </c>
      <c r="C63" s="18">
        <f t="shared" si="4"/>
        <v>141350</v>
      </c>
      <c r="D63" s="36"/>
      <c r="E63" s="38"/>
      <c r="F63" s="39"/>
      <c r="G63" s="38"/>
      <c r="H63" s="15"/>
      <c r="J63" s="15"/>
      <c r="K63" s="15"/>
      <c r="L63" s="2"/>
      <c r="M63" s="15"/>
      <c r="N63" s="15"/>
    </row>
    <row r="64">
      <c r="A64" s="24" t="s">
        <v>69</v>
      </c>
      <c r="B64" s="17">
        <v>128500.0</v>
      </c>
      <c r="C64" s="18">
        <f t="shared" si="4"/>
        <v>141350</v>
      </c>
      <c r="D64" s="36"/>
      <c r="E64" s="38"/>
      <c r="F64" s="39"/>
      <c r="G64" s="38"/>
      <c r="J64" s="15"/>
      <c r="K64" s="15"/>
      <c r="L64" s="2"/>
      <c r="M64" s="15"/>
      <c r="N64" s="15"/>
    </row>
    <row r="65">
      <c r="A65" s="43" t="s">
        <v>70</v>
      </c>
      <c r="B65" s="37">
        <v>189000.0</v>
      </c>
      <c r="C65" s="37">
        <f t="shared" si="4"/>
        <v>207900</v>
      </c>
      <c r="D65" s="36"/>
      <c r="E65" s="38"/>
      <c r="F65" s="39"/>
      <c r="G65" s="38"/>
      <c r="J65" s="15"/>
      <c r="K65" s="15"/>
      <c r="L65" s="2"/>
      <c r="M65" s="15"/>
      <c r="N65" s="15"/>
    </row>
    <row r="66">
      <c r="A66" s="41" t="s">
        <v>71</v>
      </c>
      <c r="B66" s="17">
        <v>159800.0</v>
      </c>
      <c r="C66" s="18">
        <f t="shared" si="4"/>
        <v>175780</v>
      </c>
      <c r="D66" s="36"/>
      <c r="E66" s="38"/>
      <c r="F66" s="39"/>
      <c r="G66" s="38"/>
      <c r="H66" s="15"/>
      <c r="J66" s="15"/>
      <c r="K66" s="15"/>
      <c r="L66" s="2"/>
      <c r="M66" s="15"/>
      <c r="N66" s="15"/>
    </row>
    <row r="67">
      <c r="A67" s="48" t="s">
        <v>72</v>
      </c>
      <c r="B67" s="37">
        <v>158000.0</v>
      </c>
      <c r="C67" s="37">
        <f t="shared" si="4"/>
        <v>173800</v>
      </c>
      <c r="D67" s="36"/>
      <c r="E67" s="38"/>
      <c r="F67" s="39"/>
      <c r="G67" s="38"/>
      <c r="H67" s="15"/>
      <c r="J67" s="15"/>
      <c r="K67" s="15"/>
      <c r="L67" s="2"/>
      <c r="M67" s="15"/>
      <c r="N67" s="15"/>
    </row>
    <row r="68">
      <c r="A68" s="41" t="s">
        <v>73</v>
      </c>
      <c r="B68" s="17">
        <v>227700.0</v>
      </c>
      <c r="C68" s="18">
        <f t="shared" si="4"/>
        <v>250470</v>
      </c>
      <c r="D68" s="36"/>
      <c r="E68" s="38"/>
      <c r="F68" s="39"/>
      <c r="G68" s="38"/>
      <c r="H68" s="15"/>
      <c r="J68" s="15"/>
      <c r="K68" s="15"/>
      <c r="L68" s="2"/>
      <c r="M68" s="15"/>
      <c r="N68" s="15"/>
    </row>
    <row r="69">
      <c r="A69" s="43" t="s">
        <v>74</v>
      </c>
      <c r="B69" s="37">
        <v>152000.0</v>
      </c>
      <c r="C69" s="37">
        <f t="shared" si="4"/>
        <v>167200</v>
      </c>
      <c r="D69" s="36"/>
      <c r="E69" s="38"/>
      <c r="F69" s="39"/>
      <c r="G69" s="38"/>
      <c r="H69" s="15"/>
      <c r="J69" s="15"/>
      <c r="K69" s="15"/>
      <c r="L69" s="2"/>
      <c r="M69" s="15"/>
      <c r="N69" s="15"/>
    </row>
    <row r="70">
      <c r="A70" s="28" t="s">
        <v>75</v>
      </c>
      <c r="B70" s="17">
        <v>151500.0</v>
      </c>
      <c r="C70" s="18">
        <f t="shared" si="4"/>
        <v>166650</v>
      </c>
      <c r="D70" s="36"/>
      <c r="E70" s="38"/>
      <c r="F70" s="39"/>
      <c r="G70" s="38"/>
      <c r="H70" s="15"/>
      <c r="J70" s="15"/>
      <c r="K70" s="15"/>
      <c r="L70" s="2"/>
      <c r="M70" s="15"/>
      <c r="N70" s="15"/>
    </row>
    <row r="71">
      <c r="A71" s="46" t="s">
        <v>76</v>
      </c>
      <c r="B71" s="37">
        <v>150500.0</v>
      </c>
      <c r="C71" s="37">
        <f t="shared" si="4"/>
        <v>165550</v>
      </c>
      <c r="D71" s="36"/>
      <c r="E71" s="38"/>
      <c r="F71" s="39"/>
      <c r="G71" s="38"/>
      <c r="H71" s="20"/>
      <c r="J71" s="15"/>
      <c r="K71" s="2"/>
      <c r="L71" s="2"/>
      <c r="M71" s="15"/>
      <c r="N71" s="15"/>
    </row>
    <row r="72">
      <c r="A72" s="24" t="s">
        <v>77</v>
      </c>
      <c r="B72" s="17">
        <v>161000.0</v>
      </c>
      <c r="C72" s="18">
        <f t="shared" si="4"/>
        <v>177100</v>
      </c>
      <c r="D72" s="36"/>
      <c r="E72" s="38"/>
      <c r="F72" s="39"/>
      <c r="G72" s="38"/>
      <c r="H72" s="15"/>
      <c r="J72" s="15"/>
      <c r="K72" s="15"/>
      <c r="L72" s="2"/>
      <c r="M72" s="15"/>
      <c r="N72" s="15"/>
    </row>
    <row r="73">
      <c r="A73" s="48" t="s">
        <v>78</v>
      </c>
      <c r="B73" s="37">
        <v>165000.0</v>
      </c>
      <c r="C73" s="37">
        <f t="shared" si="4"/>
        <v>181500</v>
      </c>
      <c r="D73" s="36"/>
      <c r="E73" s="38"/>
      <c r="F73" s="39"/>
      <c r="G73" s="38"/>
      <c r="H73" s="15"/>
      <c r="J73" s="22"/>
      <c r="K73" s="15"/>
      <c r="L73" s="2"/>
      <c r="M73" s="15"/>
      <c r="N73" s="15"/>
    </row>
    <row r="74">
      <c r="A74" s="41" t="s">
        <v>79</v>
      </c>
      <c r="B74" s="17">
        <v>174500.0</v>
      </c>
      <c r="C74" s="18">
        <f t="shared" si="4"/>
        <v>191950</v>
      </c>
      <c r="D74" s="36"/>
      <c r="E74" s="49"/>
      <c r="F74" s="39"/>
      <c r="G74" s="38"/>
      <c r="J74" s="22"/>
      <c r="K74" s="15"/>
      <c r="L74" s="2"/>
      <c r="M74" s="15"/>
      <c r="N74" s="15"/>
    </row>
    <row r="75">
      <c r="A75" s="41" t="s">
        <v>80</v>
      </c>
      <c r="B75" s="17">
        <v>296700.0</v>
      </c>
      <c r="C75" s="18">
        <f t="shared" si="4"/>
        <v>326370</v>
      </c>
      <c r="D75" s="36"/>
      <c r="E75" s="49"/>
      <c r="F75" s="39"/>
      <c r="G75" s="38"/>
      <c r="J75" s="22"/>
      <c r="K75" s="15"/>
      <c r="L75" s="2"/>
      <c r="M75" s="15"/>
      <c r="N75" s="15"/>
    </row>
    <row r="76">
      <c r="A76" s="43" t="s">
        <v>81</v>
      </c>
      <c r="B76" s="37">
        <v>220000.0</v>
      </c>
      <c r="C76" s="37">
        <f t="shared" si="4"/>
        <v>242000</v>
      </c>
      <c r="D76" s="36"/>
      <c r="E76" s="49"/>
      <c r="F76" s="39"/>
      <c r="G76" s="38"/>
      <c r="J76" s="22"/>
      <c r="K76" s="15"/>
      <c r="L76" s="2"/>
      <c r="M76" s="15"/>
      <c r="N76" s="15"/>
    </row>
    <row r="77">
      <c r="A77" s="15" t="s">
        <v>82</v>
      </c>
      <c r="B77" s="17">
        <v>213900.0</v>
      </c>
      <c r="C77" s="18">
        <f t="shared" si="4"/>
        <v>235290</v>
      </c>
      <c r="D77" s="36"/>
      <c r="H77" s="2"/>
      <c r="J77" s="22"/>
      <c r="K77" s="15"/>
      <c r="L77" s="2"/>
      <c r="M77" s="2"/>
      <c r="N77" s="2"/>
    </row>
    <row r="78">
      <c r="A78" s="15" t="s">
        <v>83</v>
      </c>
      <c r="B78" s="37"/>
      <c r="C78" s="37">
        <f t="shared" si="4"/>
        <v>0</v>
      </c>
      <c r="D78" s="36"/>
      <c r="H78" s="2"/>
      <c r="I78" s="2"/>
      <c r="J78" s="15"/>
      <c r="K78" s="15"/>
      <c r="L78" s="2"/>
    </row>
    <row r="79">
      <c r="A79" s="24" t="s">
        <v>84</v>
      </c>
      <c r="B79" s="17">
        <v>47000.0</v>
      </c>
      <c r="C79" s="18">
        <f t="shared" si="4"/>
        <v>51700</v>
      </c>
      <c r="D79" s="36"/>
      <c r="H79" s="2"/>
      <c r="I79" s="2"/>
      <c r="J79" s="15"/>
      <c r="K79" s="15"/>
      <c r="L79" s="2"/>
      <c r="M79" s="15"/>
    </row>
    <row r="80">
      <c r="A80" s="24" t="s">
        <v>85</v>
      </c>
      <c r="B80" s="17"/>
      <c r="C80" s="18">
        <f t="shared" si="4"/>
        <v>0</v>
      </c>
      <c r="D80" s="36"/>
      <c r="J80" s="15"/>
      <c r="K80" s="15"/>
      <c r="L80" s="2"/>
      <c r="M80" s="15"/>
      <c r="N80" s="15"/>
    </row>
    <row r="81">
      <c r="A81" s="20" t="s">
        <v>86</v>
      </c>
      <c r="B81" s="17">
        <v>44800.0</v>
      </c>
      <c r="C81" s="18">
        <f t="shared" si="4"/>
        <v>49280</v>
      </c>
      <c r="D81" s="36"/>
      <c r="H81" s="15"/>
      <c r="I81" s="2"/>
      <c r="J81" s="15"/>
      <c r="K81" s="15"/>
      <c r="L81" s="2"/>
      <c r="M81" s="15"/>
      <c r="N81" s="15"/>
    </row>
    <row r="82">
      <c r="A82" s="20" t="s">
        <v>87</v>
      </c>
      <c r="B82" s="50">
        <v>31500.0</v>
      </c>
      <c r="C82" s="50">
        <f t="shared" si="4"/>
        <v>34650</v>
      </c>
      <c r="D82" s="36"/>
      <c r="H82" s="15"/>
      <c r="I82" s="2"/>
      <c r="J82" s="24"/>
      <c r="K82" s="15"/>
      <c r="L82" s="2"/>
    </row>
    <row r="83">
      <c r="A83" s="20" t="s">
        <v>88</v>
      </c>
      <c r="B83" s="50">
        <v>17000.0</v>
      </c>
      <c r="C83" s="50">
        <f t="shared" si="4"/>
        <v>18700</v>
      </c>
      <c r="D83" s="36"/>
      <c r="E83" s="38"/>
      <c r="F83" s="39"/>
      <c r="G83" s="38"/>
      <c r="H83" s="15"/>
      <c r="I83" s="15"/>
      <c r="J83" s="24"/>
      <c r="K83" s="15"/>
      <c r="L83" s="2"/>
    </row>
    <row r="84">
      <c r="A84" s="15" t="s">
        <v>89</v>
      </c>
      <c r="B84" s="17">
        <v>77000.0</v>
      </c>
      <c r="C84" s="18">
        <f t="shared" si="4"/>
        <v>84700</v>
      </c>
      <c r="D84" s="36"/>
      <c r="E84" s="38"/>
      <c r="F84" s="39"/>
      <c r="G84" s="38"/>
      <c r="H84" s="2"/>
      <c r="I84" s="15"/>
      <c r="J84" s="2"/>
      <c r="K84" s="2"/>
      <c r="L84" s="2"/>
      <c r="M84" s="15"/>
      <c r="N84" s="15"/>
    </row>
    <row r="85">
      <c r="A85" s="45" t="s">
        <v>90</v>
      </c>
      <c r="B85" s="17">
        <v>59500.0</v>
      </c>
      <c r="C85" s="18">
        <f t="shared" si="4"/>
        <v>65450</v>
      </c>
      <c r="D85" s="36"/>
      <c r="E85" s="38"/>
      <c r="F85" s="39"/>
      <c r="G85" s="38"/>
      <c r="H85" s="2"/>
      <c r="I85" s="15"/>
      <c r="J85" s="15"/>
      <c r="K85" s="15"/>
      <c r="L85" s="2"/>
      <c r="M85" s="15"/>
      <c r="N85" s="15"/>
    </row>
    <row r="86">
      <c r="A86" s="28" t="s">
        <v>91</v>
      </c>
      <c r="B86" s="17">
        <v>69000.0</v>
      </c>
      <c r="C86" s="18">
        <f t="shared" si="4"/>
        <v>75900</v>
      </c>
      <c r="D86" s="36"/>
      <c r="E86" s="38"/>
      <c r="F86" s="39"/>
      <c r="G86" s="38"/>
      <c r="H86" s="2"/>
      <c r="I86" s="15"/>
      <c r="J86" s="24"/>
      <c r="K86" s="15"/>
      <c r="L86" s="2"/>
      <c r="M86" s="15"/>
      <c r="N86" s="15"/>
    </row>
    <row r="87">
      <c r="A87" s="28" t="s">
        <v>92</v>
      </c>
      <c r="B87" s="17">
        <v>39000.0</v>
      </c>
      <c r="C87" s="18">
        <f t="shared" si="4"/>
        <v>42900</v>
      </c>
      <c r="D87" s="36"/>
      <c r="E87" s="38"/>
      <c r="F87" s="39"/>
      <c r="G87" s="38"/>
      <c r="H87" s="15"/>
      <c r="J87" s="15"/>
      <c r="K87" s="15"/>
      <c r="L87" s="2"/>
      <c r="M87" s="15"/>
      <c r="N87" s="15"/>
    </row>
    <row r="88">
      <c r="A88" s="28" t="s">
        <v>93</v>
      </c>
      <c r="B88" s="17">
        <v>39000.0</v>
      </c>
      <c r="C88" s="18">
        <f t="shared" si="4"/>
        <v>42900</v>
      </c>
      <c r="D88" s="36"/>
      <c r="E88" s="38"/>
      <c r="F88" s="39"/>
      <c r="G88" s="38"/>
      <c r="H88" s="15"/>
      <c r="I88" s="2"/>
      <c r="J88" s="15"/>
      <c r="K88" s="15"/>
      <c r="L88" s="2"/>
      <c r="M88" s="15"/>
      <c r="N88" s="15"/>
    </row>
    <row r="89">
      <c r="A89" s="15" t="s">
        <v>94</v>
      </c>
      <c r="B89" s="17">
        <v>59500.0</v>
      </c>
      <c r="C89" s="18">
        <f t="shared" si="4"/>
        <v>65450</v>
      </c>
      <c r="D89" s="36"/>
      <c r="E89" s="49"/>
      <c r="F89" s="39"/>
      <c r="G89" s="38"/>
      <c r="H89" s="2"/>
      <c r="I89" s="2"/>
      <c r="J89" s="2"/>
      <c r="K89" s="2"/>
      <c r="L89" s="2"/>
      <c r="M89" s="15"/>
      <c r="N89" s="15"/>
    </row>
    <row r="90">
      <c r="A90" s="15" t="s">
        <v>95</v>
      </c>
      <c r="B90" s="17">
        <v>59500.0</v>
      </c>
      <c r="C90" s="18">
        <f t="shared" si="4"/>
        <v>65450</v>
      </c>
      <c r="D90" s="36"/>
      <c r="E90" s="49"/>
      <c r="F90" s="39"/>
      <c r="G90" s="38"/>
      <c r="H90" s="2"/>
      <c r="I90" s="15"/>
      <c r="J90" s="2"/>
      <c r="K90" s="2"/>
      <c r="L90" s="2"/>
      <c r="M90" s="2"/>
      <c r="N90" s="2"/>
    </row>
    <row r="91">
      <c r="A91" s="15" t="s">
        <v>96</v>
      </c>
      <c r="B91" s="17">
        <v>65500.0</v>
      </c>
      <c r="C91" s="18">
        <f t="shared" si="4"/>
        <v>72050</v>
      </c>
      <c r="D91" s="36"/>
      <c r="H91" s="15"/>
      <c r="I91" s="15"/>
      <c r="J91" s="15"/>
      <c r="K91" s="15"/>
      <c r="L91" s="2"/>
      <c r="M91" s="15"/>
      <c r="N91" s="15"/>
    </row>
    <row r="92">
      <c r="A92" s="15" t="s">
        <v>97</v>
      </c>
      <c r="B92" s="17">
        <v>36500.0</v>
      </c>
      <c r="C92" s="18">
        <f t="shared" si="4"/>
        <v>40150</v>
      </c>
      <c r="D92" s="36"/>
      <c r="H92" s="15"/>
      <c r="I92" s="15"/>
      <c r="J92" s="15"/>
      <c r="K92" s="15"/>
      <c r="L92" s="2"/>
      <c r="M92" s="15"/>
      <c r="N92" s="15"/>
    </row>
    <row r="93">
      <c r="A93" s="24" t="s">
        <v>98</v>
      </c>
      <c r="B93" s="17">
        <v>96600.0</v>
      </c>
      <c r="C93" s="18">
        <f t="shared" si="4"/>
        <v>106260</v>
      </c>
      <c r="D93" s="36"/>
      <c r="H93" s="15"/>
      <c r="I93" s="15"/>
      <c r="J93" s="15"/>
      <c r="K93" s="15"/>
      <c r="L93" s="2"/>
      <c r="M93" s="15"/>
      <c r="N93" s="15"/>
    </row>
    <row r="94">
      <c r="A94" s="15" t="s">
        <v>99</v>
      </c>
      <c r="B94" s="17">
        <v>39000.0</v>
      </c>
      <c r="C94" s="18">
        <f t="shared" si="4"/>
        <v>42900</v>
      </c>
      <c r="D94" s="36"/>
      <c r="H94" s="15"/>
      <c r="I94" s="15"/>
      <c r="J94" s="15"/>
      <c r="K94" s="15"/>
      <c r="L94" s="2"/>
      <c r="M94" s="15"/>
      <c r="N94" s="15"/>
    </row>
    <row r="95">
      <c r="A95" s="15" t="s">
        <v>100</v>
      </c>
      <c r="B95" s="17">
        <v>70000.0</v>
      </c>
      <c r="C95" s="18">
        <f t="shared" si="4"/>
        <v>77000</v>
      </c>
      <c r="D95" s="36"/>
      <c r="I95" s="15"/>
      <c r="J95" s="24"/>
      <c r="K95" s="15"/>
      <c r="L95" s="2"/>
      <c r="M95" s="15"/>
      <c r="N95" s="15"/>
    </row>
    <row r="96">
      <c r="A96" s="15" t="s">
        <v>101</v>
      </c>
      <c r="B96" s="17">
        <v>70000.0</v>
      </c>
      <c r="C96" s="18">
        <f t="shared" si="4"/>
        <v>77000</v>
      </c>
      <c r="D96" s="36"/>
      <c r="I96" s="15"/>
      <c r="J96" s="24"/>
      <c r="K96" s="15"/>
      <c r="L96" s="2"/>
      <c r="M96" s="15"/>
      <c r="N96" s="15"/>
    </row>
    <row r="97">
      <c r="A97" s="15" t="s">
        <v>102</v>
      </c>
      <c r="B97" s="17">
        <v>70000.0</v>
      </c>
      <c r="C97" s="18">
        <f t="shared" si="4"/>
        <v>77000</v>
      </c>
      <c r="D97" s="36"/>
      <c r="E97" s="38"/>
      <c r="F97" s="39"/>
      <c r="G97" s="38"/>
      <c r="I97" s="15"/>
      <c r="J97" s="24"/>
      <c r="K97" s="15"/>
      <c r="L97" s="2"/>
      <c r="M97" s="15"/>
      <c r="N97" s="15"/>
    </row>
    <row r="98">
      <c r="A98" s="15" t="s">
        <v>103</v>
      </c>
      <c r="B98" s="17">
        <v>40500.0</v>
      </c>
      <c r="C98" s="18">
        <f t="shared" si="4"/>
        <v>44550</v>
      </c>
      <c r="D98" s="36"/>
      <c r="E98" s="38"/>
      <c r="F98" s="39"/>
      <c r="G98" s="38"/>
      <c r="H98" s="15"/>
      <c r="I98" s="15"/>
      <c r="J98" s="15"/>
      <c r="K98" s="15"/>
      <c r="L98" s="2"/>
      <c r="M98" s="15"/>
      <c r="N98" s="15"/>
    </row>
    <row r="99">
      <c r="A99" s="15" t="s">
        <v>104</v>
      </c>
      <c r="B99" s="17">
        <v>70000.0</v>
      </c>
      <c r="C99" s="18">
        <f t="shared" si="4"/>
        <v>77000</v>
      </c>
      <c r="D99" s="36"/>
      <c r="E99" s="38"/>
      <c r="F99" s="39"/>
      <c r="G99" s="38"/>
      <c r="I99" s="15"/>
      <c r="J99" s="15"/>
      <c r="K99" s="15"/>
      <c r="L99" s="2"/>
      <c r="M99" s="15"/>
      <c r="N99" s="15"/>
    </row>
    <row r="100">
      <c r="A100" s="15" t="s">
        <v>105</v>
      </c>
      <c r="B100" s="17">
        <v>103500.0</v>
      </c>
      <c r="C100" s="18">
        <f t="shared" si="4"/>
        <v>113850</v>
      </c>
      <c r="D100" s="36"/>
      <c r="E100" s="38"/>
      <c r="F100" s="39"/>
      <c r="G100" s="38"/>
      <c r="H100" s="15"/>
      <c r="I100" s="15"/>
      <c r="J100" s="15"/>
      <c r="K100" s="15"/>
      <c r="L100" s="2"/>
      <c r="M100" s="15"/>
      <c r="N100" s="15"/>
    </row>
    <row r="101">
      <c r="A101" s="24" t="s">
        <v>106</v>
      </c>
      <c r="B101" s="17">
        <v>96300.0</v>
      </c>
      <c r="C101" s="18">
        <f t="shared" si="4"/>
        <v>105930</v>
      </c>
      <c r="D101" s="36"/>
      <c r="E101" s="38"/>
      <c r="F101" s="39"/>
      <c r="G101" s="38"/>
      <c r="H101" s="20"/>
      <c r="I101" s="15"/>
      <c r="J101" s="15"/>
      <c r="K101" s="15"/>
      <c r="L101" s="2"/>
      <c r="M101" s="15"/>
      <c r="N101" s="2"/>
    </row>
    <row r="102">
      <c r="A102" s="24" t="s">
        <v>107</v>
      </c>
      <c r="B102" s="17">
        <v>188600.0</v>
      </c>
      <c r="C102" s="18">
        <f t="shared" si="4"/>
        <v>207460</v>
      </c>
      <c r="D102" s="36"/>
      <c r="E102" s="38"/>
      <c r="F102" s="39"/>
      <c r="G102" s="38"/>
      <c r="H102" s="20"/>
      <c r="I102" s="15"/>
      <c r="J102" s="15"/>
      <c r="K102" s="15"/>
      <c r="L102" s="2"/>
      <c r="M102" s="15"/>
      <c r="N102" s="2"/>
    </row>
    <row r="103">
      <c r="A103" s="24" t="s">
        <v>108</v>
      </c>
      <c r="B103" s="37">
        <v>93800.0</v>
      </c>
      <c r="C103" s="37">
        <f t="shared" si="4"/>
        <v>103180</v>
      </c>
      <c r="D103" s="36"/>
      <c r="E103" s="49"/>
      <c r="F103" s="39"/>
      <c r="G103" s="38"/>
      <c r="H103" s="20"/>
      <c r="I103" s="15"/>
      <c r="L103" s="2"/>
      <c r="M103" s="2"/>
      <c r="N103" s="2"/>
    </row>
    <row r="104">
      <c r="A104" s="51" t="s">
        <v>109</v>
      </c>
      <c r="B104" s="17">
        <v>15000.0</v>
      </c>
      <c r="C104" s="18">
        <f t="shared" si="4"/>
        <v>16500</v>
      </c>
      <c r="D104" s="36"/>
      <c r="E104" s="49"/>
      <c r="F104" s="39"/>
      <c r="G104" s="38"/>
      <c r="H104" s="20"/>
      <c r="I104" s="15"/>
      <c r="L104" s="2"/>
      <c r="M104" s="2"/>
      <c r="N104" s="2"/>
    </row>
    <row r="105">
      <c r="A105" s="15" t="s">
        <v>110</v>
      </c>
      <c r="B105" s="17">
        <v>253000.0</v>
      </c>
      <c r="C105" s="18">
        <f t="shared" si="4"/>
        <v>278300</v>
      </c>
      <c r="D105" s="36"/>
      <c r="E105" s="38"/>
      <c r="F105" s="38"/>
      <c r="G105" s="38"/>
      <c r="H105" s="20"/>
      <c r="I105" s="2"/>
      <c r="L105" s="2"/>
      <c r="M105" s="15"/>
      <c r="N105" s="2"/>
    </row>
    <row r="106">
      <c r="A106" s="51" t="s">
        <v>111</v>
      </c>
      <c r="B106" s="17">
        <v>360000.0</v>
      </c>
      <c r="C106" s="18">
        <f t="shared" si="4"/>
        <v>396000</v>
      </c>
      <c r="D106" s="36"/>
      <c r="E106" s="38"/>
      <c r="F106" s="38"/>
      <c r="G106" s="38"/>
      <c r="H106" s="20"/>
      <c r="I106" s="2"/>
      <c r="J106" s="15"/>
      <c r="K106" s="15"/>
      <c r="L106" s="2"/>
      <c r="M106" s="15"/>
      <c r="N106" s="2"/>
    </row>
    <row r="107">
      <c r="A107" s="51" t="s">
        <v>112</v>
      </c>
      <c r="B107" s="17">
        <v>370000.0</v>
      </c>
      <c r="C107" s="18">
        <f t="shared" si="4"/>
        <v>407000</v>
      </c>
      <c r="D107" s="36"/>
      <c r="E107" s="38"/>
      <c r="F107" s="38"/>
      <c r="G107" s="38"/>
      <c r="H107" s="20"/>
      <c r="I107" s="2"/>
      <c r="J107" s="15"/>
      <c r="K107" s="15"/>
      <c r="L107" s="2"/>
      <c r="M107" s="15"/>
      <c r="N107" s="2"/>
    </row>
    <row r="108">
      <c r="A108" s="51" t="s">
        <v>113</v>
      </c>
      <c r="B108" s="17">
        <v>250000.0</v>
      </c>
      <c r="C108" s="18">
        <f t="shared" si="4"/>
        <v>275000</v>
      </c>
      <c r="D108" s="36"/>
      <c r="E108" s="38"/>
      <c r="F108" s="38"/>
      <c r="G108" s="38"/>
      <c r="H108" s="15"/>
      <c r="I108" s="2"/>
      <c r="L108" s="2"/>
      <c r="M108" s="15"/>
      <c r="N108" s="2"/>
    </row>
    <row r="109">
      <c r="A109" s="52" t="s">
        <v>114</v>
      </c>
      <c r="B109" s="17">
        <v>280000.0</v>
      </c>
      <c r="C109" s="18">
        <f t="shared" si="4"/>
        <v>308000</v>
      </c>
      <c r="D109" s="53"/>
      <c r="E109" s="38"/>
      <c r="F109" s="38"/>
      <c r="G109" s="38"/>
      <c r="H109" s="15"/>
      <c r="I109" s="2"/>
      <c r="J109" s="15"/>
      <c r="K109" s="15"/>
      <c r="L109" s="2"/>
      <c r="M109" s="15"/>
      <c r="N109" s="2"/>
    </row>
    <row r="110">
      <c r="A110" s="51" t="s">
        <v>115</v>
      </c>
      <c r="B110" s="17">
        <v>280000.0</v>
      </c>
      <c r="C110" s="18">
        <f t="shared" si="4"/>
        <v>308000</v>
      </c>
      <c r="D110" s="36"/>
      <c r="E110" s="38"/>
      <c r="F110" s="38"/>
      <c r="G110" s="38"/>
      <c r="H110" s="20"/>
      <c r="I110" s="2"/>
      <c r="J110" s="15"/>
      <c r="K110" s="15"/>
      <c r="L110" s="2"/>
      <c r="M110" s="15"/>
      <c r="N110" s="2"/>
    </row>
    <row r="111">
      <c r="A111" s="51" t="s">
        <v>116</v>
      </c>
      <c r="B111" s="17">
        <v>260000.0</v>
      </c>
      <c r="C111" s="18">
        <f t="shared" si="4"/>
        <v>286000</v>
      </c>
      <c r="D111" s="4"/>
      <c r="E111" s="38"/>
      <c r="F111" s="39"/>
      <c r="G111" s="38"/>
      <c r="H111" s="20"/>
      <c r="I111" s="2"/>
      <c r="L111" s="2"/>
      <c r="M111" s="15"/>
      <c r="N111" s="2"/>
    </row>
    <row r="112">
      <c r="A112" s="51" t="s">
        <v>117</v>
      </c>
      <c r="B112" s="17">
        <v>230000.0</v>
      </c>
      <c r="C112" s="18">
        <f t="shared" si="4"/>
        <v>253000</v>
      </c>
      <c r="D112" s="4"/>
      <c r="E112" s="38"/>
      <c r="F112" s="39"/>
      <c r="G112" s="38"/>
      <c r="I112" s="2"/>
      <c r="J112" s="15"/>
      <c r="K112" s="15"/>
      <c r="L112" s="2"/>
      <c r="M112" s="15"/>
      <c r="N112" s="2"/>
    </row>
    <row r="113">
      <c r="A113" s="51" t="s">
        <v>118</v>
      </c>
      <c r="B113" s="17">
        <v>260000.0</v>
      </c>
      <c r="C113" s="18">
        <f t="shared" si="4"/>
        <v>286000</v>
      </c>
      <c r="D113" s="4"/>
      <c r="E113" s="38"/>
      <c r="F113" s="39"/>
      <c r="G113" s="38"/>
      <c r="H113" s="2"/>
      <c r="I113" s="2"/>
      <c r="L113" s="2"/>
      <c r="M113" s="15"/>
      <c r="N113" s="2"/>
    </row>
    <row r="114">
      <c r="A114" s="51" t="s">
        <v>119</v>
      </c>
      <c r="B114" s="17">
        <v>260000.0</v>
      </c>
      <c r="C114" s="18">
        <f t="shared" si="4"/>
        <v>286000</v>
      </c>
      <c r="D114" s="4"/>
      <c r="E114" s="38"/>
      <c r="F114" s="39"/>
      <c r="G114" s="38"/>
      <c r="H114" s="2"/>
      <c r="I114" s="2"/>
      <c r="J114" s="15"/>
      <c r="K114" s="15"/>
      <c r="L114" s="2"/>
      <c r="M114" s="2"/>
      <c r="N114" s="2"/>
    </row>
    <row r="115">
      <c r="A115" s="51" t="s">
        <v>120</v>
      </c>
      <c r="B115" s="17">
        <v>180000.0</v>
      </c>
      <c r="C115" s="18">
        <f t="shared" si="4"/>
        <v>198000</v>
      </c>
      <c r="D115" s="4"/>
      <c r="E115" s="38"/>
      <c r="F115" s="39"/>
      <c r="G115" s="38"/>
      <c r="H115" s="2"/>
      <c r="I115" s="2"/>
      <c r="J115" s="15"/>
      <c r="K115" s="15"/>
      <c r="L115" s="2"/>
      <c r="M115" s="15"/>
      <c r="N115" s="2"/>
    </row>
    <row r="116">
      <c r="A116" s="51" t="s">
        <v>121</v>
      </c>
      <c r="B116" s="17">
        <v>300000.0</v>
      </c>
      <c r="C116" s="18">
        <f t="shared" si="4"/>
        <v>330000</v>
      </c>
      <c r="D116" s="4"/>
      <c r="E116" s="38"/>
      <c r="F116" s="39"/>
      <c r="G116" s="38"/>
      <c r="H116" s="2"/>
      <c r="I116" s="2"/>
      <c r="L116" s="2"/>
    </row>
    <row r="117">
      <c r="A117" s="51" t="s">
        <v>122</v>
      </c>
      <c r="B117" s="17">
        <v>260000.0</v>
      </c>
      <c r="C117" s="18">
        <f t="shared" si="4"/>
        <v>286000</v>
      </c>
      <c r="D117" s="4"/>
      <c r="E117" s="49"/>
      <c r="F117" s="39"/>
      <c r="G117" s="38"/>
      <c r="H117" s="2"/>
      <c r="I117" s="2"/>
      <c r="L117" s="2"/>
    </row>
    <row r="118">
      <c r="A118" s="51" t="s">
        <v>123</v>
      </c>
      <c r="B118" s="17">
        <v>195000.0</v>
      </c>
      <c r="C118" s="18">
        <f t="shared" si="4"/>
        <v>214500</v>
      </c>
      <c r="D118" s="4"/>
      <c r="E118" s="49"/>
      <c r="F118" s="39"/>
      <c r="G118" s="38"/>
      <c r="H118" s="2"/>
      <c r="I118" s="2"/>
      <c r="L118" s="2"/>
    </row>
    <row r="119">
      <c r="A119" s="51" t="s">
        <v>124</v>
      </c>
      <c r="B119" s="17">
        <v>260000.0</v>
      </c>
      <c r="C119" s="18">
        <f t="shared" si="4"/>
        <v>286000</v>
      </c>
      <c r="D119" s="4"/>
      <c r="E119" s="38"/>
      <c r="F119" s="38"/>
      <c r="G119" s="38"/>
      <c r="H119" s="2"/>
      <c r="I119" s="2"/>
      <c r="L119" s="2"/>
    </row>
    <row r="120">
      <c r="A120" s="51" t="s">
        <v>125</v>
      </c>
      <c r="B120" s="17">
        <v>350000.0</v>
      </c>
      <c r="C120" s="18">
        <f t="shared" si="4"/>
        <v>385000</v>
      </c>
      <c r="D120" s="4"/>
      <c r="E120" s="38"/>
      <c r="F120" s="38"/>
      <c r="G120" s="38"/>
      <c r="H120" s="2"/>
      <c r="I120" s="2"/>
      <c r="L120" s="2"/>
    </row>
    <row r="121">
      <c r="A121" s="51" t="s">
        <v>126</v>
      </c>
      <c r="B121" s="17">
        <v>350000.0</v>
      </c>
      <c r="C121" s="18">
        <f t="shared" si="4"/>
        <v>385000</v>
      </c>
      <c r="D121" s="4"/>
      <c r="E121" s="38"/>
      <c r="F121" s="38"/>
      <c r="G121" s="38"/>
      <c r="H121" s="2"/>
      <c r="I121" s="2"/>
      <c r="L121" s="2"/>
    </row>
    <row r="122">
      <c r="A122" s="15" t="s">
        <v>127</v>
      </c>
      <c r="B122" s="33"/>
      <c r="C122" s="37">
        <f t="shared" si="4"/>
        <v>0</v>
      </c>
      <c r="D122" s="34"/>
      <c r="G122" s="38"/>
      <c r="H122" s="2"/>
      <c r="I122" s="2"/>
      <c r="L122" s="2"/>
    </row>
    <row r="123">
      <c r="A123" s="51" t="s">
        <v>128</v>
      </c>
      <c r="B123" s="54">
        <v>320000.0</v>
      </c>
      <c r="C123" s="18">
        <f t="shared" si="4"/>
        <v>352000</v>
      </c>
      <c r="D123" s="34"/>
      <c r="G123" s="38"/>
      <c r="H123" s="2"/>
      <c r="I123" s="2"/>
      <c r="L123" s="2"/>
    </row>
    <row r="124">
      <c r="A124" s="51" t="s">
        <v>129</v>
      </c>
      <c r="B124" s="54">
        <v>250000.0</v>
      </c>
      <c r="C124" s="18">
        <f t="shared" si="4"/>
        <v>275000</v>
      </c>
      <c r="D124" s="34"/>
      <c r="G124" s="38"/>
      <c r="H124" s="2"/>
      <c r="I124" s="2"/>
      <c r="L124" s="2"/>
    </row>
    <row r="125">
      <c r="A125" s="51" t="s">
        <v>130</v>
      </c>
      <c r="B125" s="54">
        <v>250000.0</v>
      </c>
      <c r="C125" s="18">
        <f t="shared" si="4"/>
        <v>275000</v>
      </c>
      <c r="D125" s="34"/>
      <c r="E125" s="15"/>
      <c r="F125" s="6"/>
      <c r="G125" s="38"/>
      <c r="H125" s="2"/>
      <c r="I125" s="2"/>
      <c r="L125" s="2"/>
    </row>
    <row r="126">
      <c r="A126" s="51" t="s">
        <v>131</v>
      </c>
      <c r="B126" s="54">
        <v>350000.0</v>
      </c>
      <c r="C126" s="18">
        <f t="shared" si="4"/>
        <v>385000</v>
      </c>
      <c r="D126" s="34"/>
      <c r="E126" s="15"/>
      <c r="F126" s="6"/>
      <c r="G126" s="38"/>
      <c r="H126" s="2"/>
      <c r="I126" s="2"/>
      <c r="L126" s="2"/>
    </row>
    <row r="127">
      <c r="A127" s="51" t="s">
        <v>132</v>
      </c>
      <c r="B127" s="54">
        <v>190000.0</v>
      </c>
      <c r="C127" s="18">
        <f t="shared" si="4"/>
        <v>209000</v>
      </c>
      <c r="D127" s="34"/>
      <c r="E127" s="15"/>
      <c r="F127" s="6"/>
      <c r="G127" s="38"/>
      <c r="H127" s="2"/>
      <c r="I127" s="2"/>
      <c r="L127" s="2"/>
    </row>
    <row r="128">
      <c r="A128" s="2"/>
      <c r="B128" s="55"/>
      <c r="C128" s="4">
        <f t="shared" si="4"/>
        <v>0</v>
      </c>
      <c r="D128" s="34"/>
      <c r="E128" s="2"/>
      <c r="F128" s="6"/>
      <c r="G128" s="38"/>
      <c r="H128" s="2"/>
      <c r="I128" s="2"/>
      <c r="J128" s="2"/>
      <c r="K128" s="2"/>
      <c r="L128" s="2"/>
      <c r="M128" s="2"/>
      <c r="N128" s="2"/>
    </row>
    <row r="129">
      <c r="A129" s="56" t="s">
        <v>133</v>
      </c>
      <c r="B129" s="54">
        <v>500000.0</v>
      </c>
      <c r="C129" s="18">
        <f t="shared" si="4"/>
        <v>550000</v>
      </c>
      <c r="D129" s="57"/>
      <c r="E129" s="15"/>
      <c r="F129" s="6"/>
      <c r="G129" s="38"/>
      <c r="H129" s="2"/>
      <c r="I129" s="2"/>
      <c r="J129" s="2"/>
      <c r="K129" s="2"/>
      <c r="L129" s="2"/>
      <c r="M129" s="2"/>
      <c r="N129" s="2"/>
    </row>
    <row r="130">
      <c r="A130" s="56" t="s">
        <v>134</v>
      </c>
      <c r="B130" s="54">
        <v>390000.0</v>
      </c>
      <c r="C130" s="18">
        <f t="shared" si="4"/>
        <v>429000</v>
      </c>
      <c r="D130" s="57"/>
      <c r="E130" s="15"/>
      <c r="F130" s="6"/>
      <c r="G130" s="38"/>
      <c r="H130" s="2"/>
      <c r="I130" s="2"/>
      <c r="J130" s="2"/>
      <c r="K130" s="2"/>
      <c r="L130" s="2"/>
      <c r="M130" s="2"/>
      <c r="N130" s="2"/>
    </row>
    <row r="131">
      <c r="A131" s="56" t="s">
        <v>135</v>
      </c>
      <c r="B131" s="54">
        <v>500000.0</v>
      </c>
      <c r="C131" s="18">
        <f t="shared" si="4"/>
        <v>550000</v>
      </c>
      <c r="D131" s="57"/>
      <c r="E131" s="15"/>
      <c r="F131" s="6"/>
      <c r="G131" s="38"/>
      <c r="H131" s="2"/>
      <c r="I131" s="2"/>
      <c r="J131" s="2"/>
      <c r="K131" s="2"/>
      <c r="L131" s="2"/>
      <c r="M131" s="15"/>
      <c r="N131" s="2"/>
    </row>
    <row r="132">
      <c r="A132" s="56" t="s">
        <v>136</v>
      </c>
      <c r="B132" s="54">
        <v>480000.0</v>
      </c>
      <c r="C132" s="18">
        <f t="shared" si="4"/>
        <v>528000</v>
      </c>
      <c r="D132" s="57"/>
      <c r="E132" s="2"/>
      <c r="F132" s="6"/>
      <c r="G132" s="38"/>
      <c r="H132" s="2"/>
      <c r="I132" s="2"/>
      <c r="J132" s="2"/>
      <c r="K132" s="2"/>
      <c r="L132" s="2"/>
      <c r="M132" s="15"/>
      <c r="N132" s="2"/>
    </row>
    <row r="133">
      <c r="A133" s="56" t="s">
        <v>137</v>
      </c>
      <c r="B133" s="54">
        <v>870000.0</v>
      </c>
      <c r="C133" s="18">
        <f t="shared" si="4"/>
        <v>957000</v>
      </c>
      <c r="D133" s="57"/>
      <c r="E133" s="2"/>
      <c r="F133" s="6"/>
      <c r="G133" s="38"/>
      <c r="H133" s="2"/>
      <c r="I133" s="2"/>
      <c r="J133" s="2"/>
      <c r="K133" s="2"/>
      <c r="L133" s="2"/>
      <c r="M133" s="15"/>
      <c r="N133" s="2"/>
    </row>
    <row r="134">
      <c r="A134" s="56" t="s">
        <v>138</v>
      </c>
      <c r="B134" s="54">
        <v>850000.0</v>
      </c>
      <c r="C134" s="18">
        <f t="shared" si="4"/>
        <v>935000</v>
      </c>
      <c r="D134" s="57"/>
      <c r="E134" s="2"/>
      <c r="F134" s="6"/>
      <c r="G134" s="38"/>
      <c r="H134" s="2"/>
      <c r="I134" s="2"/>
      <c r="J134" s="2"/>
      <c r="K134" s="2"/>
      <c r="L134" s="2"/>
      <c r="M134" s="2"/>
      <c r="N134" s="2"/>
    </row>
    <row r="135">
      <c r="A135" s="56" t="s">
        <v>139</v>
      </c>
      <c r="B135" s="54">
        <v>750000.0</v>
      </c>
      <c r="C135" s="18">
        <f t="shared" si="4"/>
        <v>825000</v>
      </c>
      <c r="D135" s="57"/>
      <c r="E135" s="2"/>
      <c r="F135" s="6"/>
      <c r="G135" s="38"/>
      <c r="H135" s="2"/>
      <c r="I135" s="2"/>
      <c r="J135" s="2"/>
      <c r="K135" s="2"/>
      <c r="L135" s="2"/>
      <c r="M135" s="2"/>
      <c r="N135" s="2"/>
    </row>
    <row r="136">
      <c r="A136" s="15"/>
      <c r="B136" s="2"/>
      <c r="C136" s="4">
        <f t="shared" si="4"/>
        <v>0</v>
      </c>
      <c r="D136" s="10"/>
      <c r="E136" s="2"/>
      <c r="F136" s="6"/>
      <c r="G136" s="2"/>
      <c r="H136" s="2"/>
      <c r="I136" s="2"/>
      <c r="J136" s="2"/>
      <c r="K136" s="2"/>
      <c r="L136" s="2"/>
      <c r="M136" s="2"/>
      <c r="N136" s="2"/>
    </row>
    <row r="137">
      <c r="A137" s="51" t="s">
        <v>140</v>
      </c>
      <c r="B137" s="17">
        <v>350000.0</v>
      </c>
      <c r="C137" s="18">
        <f t="shared" si="4"/>
        <v>385000</v>
      </c>
      <c r="D137" s="10"/>
      <c r="E137" s="2"/>
      <c r="F137" s="6"/>
      <c r="G137" s="2"/>
      <c r="H137" s="2"/>
      <c r="I137" s="2"/>
      <c r="J137" s="2"/>
      <c r="K137" s="2"/>
      <c r="L137" s="2"/>
      <c r="M137" s="2"/>
      <c r="N137" s="2"/>
    </row>
    <row r="138">
      <c r="A138" s="51" t="s">
        <v>141</v>
      </c>
      <c r="B138" s="17">
        <v>400000.0</v>
      </c>
      <c r="C138" s="18">
        <f t="shared" si="4"/>
        <v>440000</v>
      </c>
      <c r="D138" s="10"/>
      <c r="E138" s="2"/>
      <c r="F138" s="6"/>
      <c r="G138" s="2"/>
      <c r="H138" s="2"/>
      <c r="I138" s="2"/>
      <c r="J138" s="14"/>
      <c r="K138" s="2"/>
      <c r="L138" s="2"/>
      <c r="M138" s="2"/>
      <c r="N138" s="2"/>
    </row>
    <row r="139">
      <c r="A139" s="51" t="s">
        <v>142</v>
      </c>
      <c r="B139" s="17">
        <v>300000.0</v>
      </c>
      <c r="C139" s="18">
        <f t="shared" si="4"/>
        <v>330000</v>
      </c>
      <c r="D139" s="10"/>
      <c r="E139" s="2"/>
      <c r="F139" s="6"/>
      <c r="G139" s="2"/>
      <c r="H139" s="2"/>
      <c r="I139" s="2"/>
      <c r="J139" s="14"/>
      <c r="K139" s="2"/>
      <c r="L139" s="2"/>
      <c r="M139" s="2"/>
      <c r="N139" s="2"/>
    </row>
    <row r="140">
      <c r="A140" s="51" t="s">
        <v>143</v>
      </c>
      <c r="B140" s="17">
        <v>300000.0</v>
      </c>
      <c r="C140" s="18">
        <f t="shared" si="4"/>
        <v>330000</v>
      </c>
      <c r="D140" s="10"/>
      <c r="E140" s="2"/>
      <c r="F140" s="6"/>
      <c r="G140" s="2"/>
      <c r="H140" s="2"/>
      <c r="I140" s="2"/>
      <c r="J140" s="14"/>
      <c r="K140" s="2"/>
      <c r="L140" s="2"/>
      <c r="M140" s="2"/>
      <c r="N140" s="2"/>
    </row>
    <row r="141">
      <c r="A141" s="15"/>
      <c r="B141" s="2"/>
      <c r="C141" s="58"/>
      <c r="D141" s="10"/>
      <c r="E141" s="2"/>
      <c r="F141" s="6"/>
      <c r="G141" s="2"/>
      <c r="H141" s="2"/>
      <c r="I141" s="2"/>
      <c r="J141" s="14"/>
      <c r="K141" s="2"/>
      <c r="L141" s="2"/>
      <c r="M141" s="2"/>
      <c r="N141" s="2"/>
    </row>
    <row r="142">
      <c r="A142" s="59" t="s">
        <v>144</v>
      </c>
      <c r="B142" s="17" t="s">
        <v>145</v>
      </c>
      <c r="C142" s="18" t="s">
        <v>6</v>
      </c>
      <c r="D142" s="4"/>
      <c r="E142" s="20"/>
      <c r="G142" s="4"/>
      <c r="H142" s="60"/>
      <c r="I142" s="2"/>
      <c r="J142" s="4"/>
      <c r="K142" s="14"/>
      <c r="L142" s="2"/>
      <c r="M142" s="4"/>
      <c r="N142" s="4"/>
    </row>
    <row r="143">
      <c r="A143" s="28" t="s">
        <v>146</v>
      </c>
      <c r="B143" s="17">
        <v>25000.0</v>
      </c>
      <c r="C143" s="61">
        <f t="shared" ref="C143:C175" si="5">(B143*1.1)</f>
        <v>27500</v>
      </c>
      <c r="D143" s="36"/>
      <c r="E143" s="38"/>
      <c r="F143" s="39"/>
      <c r="H143" s="15"/>
      <c r="I143" s="2"/>
      <c r="J143" s="15"/>
      <c r="K143" s="15"/>
      <c r="L143" s="2"/>
      <c r="M143" s="15"/>
      <c r="N143" s="15"/>
    </row>
    <row r="144">
      <c r="A144" s="21" t="s">
        <v>147</v>
      </c>
      <c r="B144" s="17">
        <v>30000.0</v>
      </c>
      <c r="C144" s="61">
        <f t="shared" si="5"/>
        <v>33000</v>
      </c>
      <c r="D144" s="36"/>
      <c r="E144" s="38"/>
      <c r="F144" s="39"/>
      <c r="I144" s="2"/>
      <c r="J144" s="15"/>
      <c r="K144" s="15"/>
      <c r="M144" s="15"/>
      <c r="N144" s="15"/>
    </row>
    <row r="145">
      <c r="A145" s="15" t="s">
        <v>148</v>
      </c>
      <c r="B145" s="17"/>
      <c r="C145" s="61">
        <f t="shared" si="5"/>
        <v>0</v>
      </c>
      <c r="D145" s="36"/>
      <c r="E145" s="38"/>
      <c r="F145" s="39"/>
      <c r="I145" s="2"/>
      <c r="J145" s="15"/>
      <c r="K145" s="15"/>
      <c r="N145" s="2"/>
    </row>
    <row r="146">
      <c r="A146" s="21" t="s">
        <v>149</v>
      </c>
      <c r="B146" s="17">
        <v>36400.0</v>
      </c>
      <c r="C146" s="61">
        <f t="shared" si="5"/>
        <v>40040</v>
      </c>
      <c r="D146" s="36"/>
      <c r="E146" s="38"/>
      <c r="F146" s="39"/>
      <c r="H146" s="20"/>
      <c r="I146" s="2"/>
      <c r="J146" s="15"/>
      <c r="K146" s="15"/>
      <c r="M146" s="15"/>
      <c r="N146" s="15"/>
    </row>
    <row r="147">
      <c r="A147" s="28" t="s">
        <v>150</v>
      </c>
      <c r="B147" s="17">
        <v>39100.0</v>
      </c>
      <c r="C147" s="61">
        <f t="shared" si="5"/>
        <v>43010</v>
      </c>
      <c r="D147" s="36"/>
      <c r="E147" s="38"/>
      <c r="F147" s="39"/>
      <c r="I147" s="2"/>
      <c r="J147" s="15"/>
      <c r="K147" s="15"/>
      <c r="M147" s="15"/>
      <c r="N147" s="15"/>
    </row>
    <row r="148">
      <c r="A148" s="23" t="s">
        <v>151</v>
      </c>
      <c r="B148" s="17"/>
      <c r="C148" s="61">
        <f t="shared" si="5"/>
        <v>0</v>
      </c>
      <c r="D148" s="36"/>
      <c r="E148" s="38"/>
      <c r="F148" s="39"/>
      <c r="H148" s="15"/>
      <c r="I148" s="2"/>
      <c r="J148" s="24"/>
      <c r="K148" s="15"/>
      <c r="N148" s="15"/>
    </row>
    <row r="149">
      <c r="A149" s="28" t="s">
        <v>152</v>
      </c>
      <c r="B149" s="17">
        <v>41400.0</v>
      </c>
      <c r="C149" s="61">
        <f t="shared" si="5"/>
        <v>45540</v>
      </c>
      <c r="D149" s="36"/>
      <c r="E149" s="38"/>
      <c r="F149" s="39"/>
      <c r="I149" s="2"/>
      <c r="J149" s="24"/>
      <c r="K149" s="15"/>
      <c r="M149" s="15"/>
    </row>
    <row r="150">
      <c r="A150" s="26" t="s">
        <v>153</v>
      </c>
      <c r="B150" s="17"/>
      <c r="C150" s="61">
        <f t="shared" si="5"/>
        <v>0</v>
      </c>
      <c r="D150" s="36"/>
      <c r="E150" s="38"/>
      <c r="F150" s="39"/>
      <c r="H150" s="15"/>
      <c r="I150" s="2"/>
      <c r="J150" s="15"/>
      <c r="K150" s="15"/>
      <c r="N150" s="15"/>
    </row>
    <row r="151">
      <c r="A151" s="28" t="s">
        <v>154</v>
      </c>
      <c r="B151" s="17">
        <v>43900.0</v>
      </c>
      <c r="C151" s="61">
        <f t="shared" si="5"/>
        <v>48290</v>
      </c>
      <c r="D151" s="36"/>
      <c r="E151" s="38"/>
      <c r="F151" s="39"/>
      <c r="I151" s="2"/>
    </row>
    <row r="152">
      <c r="A152" s="26" t="s">
        <v>155</v>
      </c>
      <c r="B152" s="17"/>
      <c r="C152" s="61">
        <f t="shared" si="5"/>
        <v>0</v>
      </c>
      <c r="D152" s="36"/>
      <c r="E152" s="38"/>
      <c r="F152" s="39"/>
      <c r="H152" s="15"/>
      <c r="I152" s="2"/>
      <c r="J152" s="15"/>
      <c r="K152" s="15"/>
      <c r="M152" s="24"/>
      <c r="N152" s="15"/>
    </row>
    <row r="153">
      <c r="A153" s="28" t="s">
        <v>156</v>
      </c>
      <c r="B153" s="17">
        <v>46000.0</v>
      </c>
      <c r="C153" s="61">
        <f t="shared" si="5"/>
        <v>50600</v>
      </c>
      <c r="D153" s="36"/>
      <c r="E153" s="38"/>
      <c r="F153" s="39"/>
      <c r="I153" s="2"/>
      <c r="J153" s="15"/>
      <c r="K153" s="2"/>
    </row>
    <row r="154">
      <c r="A154" s="26" t="s">
        <v>157</v>
      </c>
      <c r="B154" s="17"/>
      <c r="C154" s="61">
        <f t="shared" si="5"/>
        <v>0</v>
      </c>
      <c r="D154" s="36"/>
      <c r="E154" s="38"/>
      <c r="F154" s="39"/>
      <c r="H154" s="15"/>
      <c r="I154" s="2"/>
      <c r="J154" s="24"/>
      <c r="K154" s="15"/>
      <c r="M154" s="15"/>
      <c r="N154" s="15"/>
    </row>
    <row r="155">
      <c r="A155" s="28" t="s">
        <v>158</v>
      </c>
      <c r="B155" s="17">
        <v>45000.0</v>
      </c>
      <c r="C155" s="61">
        <f t="shared" si="5"/>
        <v>49500</v>
      </c>
      <c r="D155" s="36"/>
      <c r="E155" s="49"/>
      <c r="F155" s="39"/>
      <c r="I155" s="2"/>
      <c r="J155" s="24"/>
      <c r="K155" s="15"/>
    </row>
    <row r="156">
      <c r="A156" s="26" t="s">
        <v>159</v>
      </c>
      <c r="B156" s="17"/>
      <c r="C156" s="61">
        <f t="shared" si="5"/>
        <v>0</v>
      </c>
      <c r="D156" s="36"/>
      <c r="E156" s="49"/>
      <c r="F156" s="39"/>
      <c r="H156" s="15"/>
      <c r="I156" s="2"/>
      <c r="J156" s="15"/>
      <c r="K156" s="15"/>
      <c r="M156" s="15"/>
      <c r="N156" s="15"/>
    </row>
    <row r="157">
      <c r="A157" s="28" t="s">
        <v>160</v>
      </c>
      <c r="B157" s="17">
        <v>47500.0</v>
      </c>
      <c r="C157" s="61">
        <f t="shared" si="5"/>
        <v>52250</v>
      </c>
      <c r="D157" s="36"/>
      <c r="E157" s="38"/>
      <c r="F157" s="38"/>
      <c r="I157" s="2"/>
      <c r="J157" s="24"/>
      <c r="K157" s="15"/>
    </row>
    <row r="158">
      <c r="A158" s="26" t="s">
        <v>161</v>
      </c>
      <c r="B158" s="17">
        <v>52000.0</v>
      </c>
      <c r="C158" s="61">
        <f t="shared" si="5"/>
        <v>57200</v>
      </c>
      <c r="D158" s="36"/>
      <c r="E158" s="38"/>
      <c r="F158" s="38"/>
      <c r="H158" s="15"/>
      <c r="I158" s="2"/>
      <c r="J158" s="15"/>
      <c r="K158" s="15"/>
      <c r="M158" s="15"/>
      <c r="N158" s="15"/>
    </row>
    <row r="159">
      <c r="A159" s="28" t="s">
        <v>162</v>
      </c>
      <c r="B159" s="17">
        <v>47500.0</v>
      </c>
      <c r="C159" s="61">
        <f t="shared" si="5"/>
        <v>52250</v>
      </c>
      <c r="D159" s="36"/>
      <c r="E159" s="38"/>
      <c r="F159" s="38"/>
      <c r="I159" s="2"/>
      <c r="J159" s="24"/>
      <c r="K159" s="15"/>
    </row>
    <row r="160">
      <c r="A160" s="26" t="s">
        <v>163</v>
      </c>
      <c r="B160" s="17"/>
      <c r="C160" s="61">
        <f t="shared" si="5"/>
        <v>0</v>
      </c>
      <c r="D160" s="42"/>
      <c r="H160" s="15"/>
      <c r="I160" s="2"/>
      <c r="J160" s="15"/>
      <c r="K160" s="15"/>
      <c r="M160" s="15"/>
      <c r="N160" s="15"/>
    </row>
    <row r="161">
      <c r="A161" s="28" t="s">
        <v>164</v>
      </c>
      <c r="B161" s="17">
        <v>49500.0</v>
      </c>
      <c r="C161" s="61">
        <f t="shared" si="5"/>
        <v>54450</v>
      </c>
      <c r="D161" s="36"/>
      <c r="I161" s="2"/>
      <c r="J161" s="15"/>
      <c r="K161" s="15"/>
    </row>
    <row r="162">
      <c r="A162" s="26" t="s">
        <v>165</v>
      </c>
      <c r="B162" s="17"/>
      <c r="C162" s="61">
        <f t="shared" si="5"/>
        <v>0</v>
      </c>
      <c r="D162" s="36"/>
      <c r="H162" s="15"/>
      <c r="I162" s="2"/>
      <c r="J162" s="15"/>
      <c r="K162" s="15"/>
      <c r="M162" s="15"/>
      <c r="N162" s="15"/>
    </row>
    <row r="163">
      <c r="A163" s="26" t="s">
        <v>166</v>
      </c>
      <c r="B163" s="37">
        <v>122000.0</v>
      </c>
      <c r="C163" s="62">
        <f t="shared" si="5"/>
        <v>134200</v>
      </c>
      <c r="D163" s="36"/>
      <c r="E163" s="38"/>
      <c r="F163" s="63"/>
      <c r="G163" s="38"/>
      <c r="H163" s="15"/>
      <c r="I163" s="2"/>
      <c r="J163" s="15"/>
      <c r="K163" s="15"/>
      <c r="N163" s="15"/>
    </row>
    <row r="164">
      <c r="A164" s="28" t="s">
        <v>167</v>
      </c>
      <c r="B164" s="37">
        <v>98000.0</v>
      </c>
      <c r="C164" s="62">
        <f t="shared" si="5"/>
        <v>107800</v>
      </c>
      <c r="D164" s="36"/>
      <c r="E164" s="38"/>
      <c r="F164" s="63"/>
      <c r="G164" s="38"/>
      <c r="H164" s="15"/>
      <c r="I164" s="2"/>
      <c r="J164" s="15"/>
      <c r="K164" s="15"/>
      <c r="M164" s="15"/>
      <c r="N164" s="15"/>
    </row>
    <row r="165">
      <c r="A165" s="26" t="s">
        <v>168</v>
      </c>
      <c r="B165" s="64"/>
      <c r="C165" s="61">
        <f t="shared" si="5"/>
        <v>0</v>
      </c>
      <c r="D165" s="36"/>
      <c r="E165" s="38"/>
      <c r="F165" s="63"/>
      <c r="G165" s="38"/>
      <c r="I165" s="2"/>
      <c r="J165" s="2"/>
      <c r="K165" s="15"/>
      <c r="N165" s="2"/>
    </row>
    <row r="166">
      <c r="A166" s="28" t="s">
        <v>169</v>
      </c>
      <c r="B166" s="17">
        <v>133500.0</v>
      </c>
      <c r="C166" s="61">
        <f t="shared" si="5"/>
        <v>146850</v>
      </c>
      <c r="D166" s="36"/>
      <c r="E166" s="38"/>
      <c r="F166" s="63"/>
      <c r="G166" s="38"/>
      <c r="H166" s="20"/>
      <c r="I166" s="2"/>
      <c r="J166" s="15"/>
      <c r="K166" s="15"/>
      <c r="N166" s="2"/>
    </row>
    <row r="167">
      <c r="A167" s="28" t="s">
        <v>170</v>
      </c>
      <c r="B167" s="17">
        <v>110000.0</v>
      </c>
      <c r="C167" s="61">
        <f t="shared" si="5"/>
        <v>121000</v>
      </c>
      <c r="D167" s="42"/>
      <c r="E167" s="38"/>
      <c r="F167" s="63"/>
      <c r="G167" s="38"/>
      <c r="H167" s="20"/>
      <c r="I167" s="2"/>
      <c r="J167" s="24"/>
      <c r="K167" s="15"/>
      <c r="M167" s="15"/>
      <c r="N167" s="15"/>
    </row>
    <row r="168">
      <c r="A168" s="26" t="s">
        <v>171</v>
      </c>
      <c r="B168" s="37">
        <v>126700.0</v>
      </c>
      <c r="C168" s="62">
        <f t="shared" si="5"/>
        <v>139370</v>
      </c>
      <c r="D168" s="36"/>
      <c r="E168" s="49"/>
      <c r="F168" s="38"/>
      <c r="G168" s="38"/>
      <c r="H168" s="20"/>
      <c r="I168" s="2"/>
      <c r="K168" s="15"/>
      <c r="M168" s="2"/>
      <c r="N168" s="2"/>
    </row>
    <row r="169">
      <c r="A169" s="28" t="s">
        <v>172</v>
      </c>
      <c r="B169" s="17">
        <v>95000.0</v>
      </c>
      <c r="C169" s="61">
        <f t="shared" si="5"/>
        <v>104500</v>
      </c>
      <c r="D169" s="36"/>
      <c r="E169" s="38"/>
      <c r="F169" s="39"/>
      <c r="G169" s="38"/>
      <c r="H169" s="20"/>
      <c r="I169" s="65"/>
      <c r="J169" s="15"/>
      <c r="K169" s="15"/>
      <c r="L169" s="2"/>
      <c r="M169" s="15"/>
      <c r="N169" s="15"/>
    </row>
    <row r="170">
      <c r="A170" s="26" t="s">
        <v>173</v>
      </c>
      <c r="B170" s="17"/>
      <c r="C170" s="61">
        <f t="shared" si="5"/>
        <v>0</v>
      </c>
      <c r="D170" s="36"/>
      <c r="E170" s="38"/>
      <c r="F170" s="39"/>
      <c r="G170" s="38"/>
      <c r="H170" s="20"/>
      <c r="I170" s="65"/>
      <c r="J170" s="15"/>
      <c r="K170" s="15"/>
      <c r="L170" s="2"/>
      <c r="M170" s="15"/>
      <c r="N170" s="2"/>
    </row>
    <row r="171">
      <c r="A171" s="28" t="s">
        <v>174</v>
      </c>
      <c r="B171" s="17">
        <v>195000.0</v>
      </c>
      <c r="C171" s="61">
        <f t="shared" si="5"/>
        <v>214500</v>
      </c>
      <c r="D171" s="36"/>
      <c r="E171" s="38"/>
      <c r="F171" s="39"/>
      <c r="G171" s="38"/>
      <c r="H171" s="20"/>
      <c r="J171" s="24"/>
      <c r="K171" s="15"/>
      <c r="L171" s="2"/>
      <c r="M171" s="15"/>
      <c r="N171" s="15"/>
    </row>
    <row r="172">
      <c r="A172" s="28" t="s">
        <v>175</v>
      </c>
      <c r="B172" s="17">
        <v>163000.0</v>
      </c>
      <c r="C172" s="61">
        <f t="shared" si="5"/>
        <v>179300</v>
      </c>
      <c r="D172" s="36"/>
      <c r="E172" s="38"/>
      <c r="F172" s="39"/>
      <c r="G172" s="38"/>
      <c r="H172" s="15"/>
      <c r="I172" s="2"/>
      <c r="J172" s="15"/>
      <c r="K172" s="15"/>
      <c r="L172" s="2"/>
    </row>
    <row r="173">
      <c r="A173" s="26" t="s">
        <v>176</v>
      </c>
      <c r="B173" s="17">
        <v>103500.0</v>
      </c>
      <c r="C173" s="61">
        <f t="shared" si="5"/>
        <v>113850</v>
      </c>
      <c r="D173" s="36"/>
      <c r="E173" s="38"/>
      <c r="F173" s="39"/>
      <c r="G173" s="38"/>
      <c r="H173" s="15"/>
      <c r="I173" s="2"/>
      <c r="J173" s="15"/>
      <c r="K173" s="15"/>
      <c r="L173" s="2"/>
    </row>
    <row r="174">
      <c r="A174" s="15" t="s">
        <v>177</v>
      </c>
      <c r="B174" s="17">
        <v>91500.0</v>
      </c>
      <c r="C174" s="61">
        <f t="shared" si="5"/>
        <v>100650</v>
      </c>
      <c r="D174" s="36"/>
      <c r="E174" s="38"/>
      <c r="F174" s="39"/>
      <c r="G174" s="38"/>
      <c r="H174" s="15"/>
      <c r="I174" s="2"/>
      <c r="J174" s="24"/>
      <c r="K174" s="15"/>
      <c r="L174" s="2"/>
      <c r="M174" s="15"/>
      <c r="N174" s="15"/>
    </row>
    <row r="175">
      <c r="A175" s="15" t="s">
        <v>178</v>
      </c>
      <c r="B175" s="17">
        <v>75000.0</v>
      </c>
      <c r="C175" s="61">
        <f t="shared" si="5"/>
        <v>82500</v>
      </c>
      <c r="D175" s="36"/>
      <c r="E175" s="38"/>
      <c r="F175" s="39"/>
      <c r="G175" s="38"/>
      <c r="H175" s="15"/>
      <c r="I175" s="2"/>
      <c r="J175" s="24"/>
      <c r="K175" s="15"/>
      <c r="L175" s="2"/>
      <c r="M175" s="15"/>
      <c r="N175" s="15"/>
    </row>
    <row r="176">
      <c r="A176" s="23" t="s">
        <v>179</v>
      </c>
      <c r="B176" s="17"/>
      <c r="C176" s="61"/>
      <c r="D176" s="42"/>
      <c r="E176" s="38"/>
      <c r="F176" s="39"/>
      <c r="G176" s="38"/>
      <c r="H176" s="15"/>
      <c r="I176" s="2"/>
      <c r="J176" s="24"/>
      <c r="K176" s="15"/>
      <c r="L176" s="2"/>
    </row>
    <row r="177">
      <c r="A177" s="15" t="s">
        <v>180</v>
      </c>
      <c r="B177" s="17">
        <v>181900.0</v>
      </c>
      <c r="C177" s="61">
        <f t="shared" ref="C177:C189" si="6">(B177*1.1)</f>
        <v>200090</v>
      </c>
      <c r="D177" s="36"/>
      <c r="E177" s="38"/>
      <c r="F177" s="39"/>
      <c r="G177" s="38"/>
      <c r="H177" s="15"/>
      <c r="I177" s="2"/>
      <c r="J177" s="24"/>
      <c r="K177" s="15"/>
      <c r="L177" s="2"/>
    </row>
    <row r="178">
      <c r="A178" s="15" t="s">
        <v>181</v>
      </c>
      <c r="B178" s="17">
        <v>98000.0</v>
      </c>
      <c r="C178" s="61">
        <f t="shared" si="6"/>
        <v>107800</v>
      </c>
      <c r="D178" s="36"/>
      <c r="E178" s="38"/>
      <c r="F178" s="39"/>
      <c r="G178" s="38"/>
      <c r="H178" s="15"/>
      <c r="I178" s="2"/>
      <c r="J178" s="24"/>
      <c r="K178" s="15"/>
      <c r="L178" s="2"/>
      <c r="M178" s="15"/>
      <c r="N178" s="15"/>
    </row>
    <row r="179">
      <c r="A179" s="23" t="s">
        <v>182</v>
      </c>
      <c r="B179" s="17">
        <v>227900.0</v>
      </c>
      <c r="C179" s="61">
        <f t="shared" si="6"/>
        <v>250690</v>
      </c>
      <c r="D179" s="36"/>
      <c r="E179" s="66"/>
      <c r="F179" s="39"/>
      <c r="G179" s="38"/>
      <c r="H179" s="15"/>
      <c r="I179" s="2"/>
      <c r="J179" s="15"/>
      <c r="K179" s="15"/>
      <c r="L179" s="2"/>
    </row>
    <row r="180">
      <c r="A180" s="15" t="s">
        <v>183</v>
      </c>
      <c r="B180" s="17">
        <v>189700.0</v>
      </c>
      <c r="C180" s="61">
        <f t="shared" si="6"/>
        <v>208670</v>
      </c>
      <c r="D180" s="36"/>
      <c r="E180" s="66"/>
      <c r="F180" s="39"/>
      <c r="G180" s="38"/>
      <c r="H180" s="15"/>
      <c r="I180" s="2"/>
      <c r="J180" s="24"/>
      <c r="K180" s="15"/>
      <c r="L180" s="2"/>
      <c r="M180" s="15"/>
    </row>
    <row r="181">
      <c r="A181" s="24" t="s">
        <v>184</v>
      </c>
      <c r="B181" s="17">
        <v>140000.0</v>
      </c>
      <c r="C181" s="61">
        <f t="shared" si="6"/>
        <v>154000</v>
      </c>
      <c r="D181" s="36"/>
      <c r="E181" s="49"/>
      <c r="F181" s="39"/>
      <c r="G181" s="38"/>
      <c r="I181" s="2"/>
      <c r="J181" s="15"/>
      <c r="K181" s="15"/>
      <c r="L181" s="2"/>
      <c r="M181" s="2"/>
      <c r="N181" s="2"/>
    </row>
    <row r="182">
      <c r="A182" s="21" t="s">
        <v>185</v>
      </c>
      <c r="B182" s="17">
        <v>240600.0</v>
      </c>
      <c r="C182" s="61">
        <f t="shared" si="6"/>
        <v>264660</v>
      </c>
      <c r="D182" s="36"/>
      <c r="E182" s="49"/>
      <c r="F182" s="38"/>
      <c r="G182" s="38"/>
      <c r="H182" s="15"/>
      <c r="I182" s="2"/>
      <c r="J182" s="15"/>
      <c r="K182" s="15"/>
      <c r="L182" s="2"/>
      <c r="M182" s="2"/>
      <c r="N182" s="2"/>
    </row>
    <row r="183">
      <c r="A183" s="24" t="s">
        <v>186</v>
      </c>
      <c r="B183" s="17">
        <v>196000.0</v>
      </c>
      <c r="C183" s="61">
        <f t="shared" si="6"/>
        <v>215600</v>
      </c>
      <c r="D183" s="36"/>
      <c r="E183" s="38"/>
      <c r="F183" s="38"/>
      <c r="G183" s="38"/>
      <c r="H183" s="15"/>
      <c r="I183" s="2"/>
      <c r="J183" s="24"/>
      <c r="K183" s="15"/>
      <c r="L183" s="2"/>
      <c r="M183" s="2"/>
      <c r="N183" s="2"/>
    </row>
    <row r="184">
      <c r="A184" s="24" t="s">
        <v>187</v>
      </c>
      <c r="B184" s="37">
        <v>140000.0</v>
      </c>
      <c r="C184" s="62">
        <f t="shared" si="6"/>
        <v>154000</v>
      </c>
      <c r="D184" s="36"/>
      <c r="E184" s="66"/>
      <c r="F184" s="38"/>
      <c r="G184" s="38"/>
      <c r="H184" s="15"/>
      <c r="I184" s="2"/>
      <c r="J184" s="24"/>
      <c r="K184" s="15"/>
      <c r="L184" s="2"/>
      <c r="M184" s="2"/>
      <c r="N184" s="2"/>
    </row>
    <row r="185">
      <c r="A185" s="21" t="s">
        <v>188</v>
      </c>
      <c r="B185" s="17">
        <v>265000.0</v>
      </c>
      <c r="C185" s="61">
        <f t="shared" si="6"/>
        <v>291500</v>
      </c>
      <c r="D185" s="36"/>
      <c r="E185" s="66"/>
      <c r="F185" s="38"/>
      <c r="G185" s="38"/>
      <c r="H185" s="15"/>
      <c r="I185" s="2"/>
      <c r="J185" s="15"/>
      <c r="K185" s="15"/>
      <c r="L185" s="2"/>
      <c r="M185" s="2"/>
      <c r="N185" s="2"/>
    </row>
    <row r="186">
      <c r="A186" s="24" t="s">
        <v>189</v>
      </c>
      <c r="B186" s="17">
        <v>230700.0</v>
      </c>
      <c r="C186" s="61">
        <f t="shared" si="6"/>
        <v>253770</v>
      </c>
      <c r="D186" s="36"/>
      <c r="E186" s="66"/>
      <c r="F186" s="38"/>
      <c r="G186" s="38"/>
      <c r="H186" s="15"/>
      <c r="I186" s="2"/>
      <c r="J186" s="24"/>
      <c r="K186" s="15"/>
      <c r="L186" s="2"/>
      <c r="M186" s="2"/>
      <c r="N186" s="2"/>
    </row>
    <row r="187">
      <c r="A187" s="21" t="s">
        <v>190</v>
      </c>
      <c r="B187" s="17">
        <v>240600.0</v>
      </c>
      <c r="C187" s="61">
        <f t="shared" si="6"/>
        <v>264660</v>
      </c>
      <c r="D187" s="36"/>
      <c r="E187" s="66"/>
      <c r="F187" s="38"/>
      <c r="G187" s="38"/>
      <c r="I187" s="2"/>
      <c r="J187" s="15"/>
      <c r="K187" s="15"/>
      <c r="L187" s="2"/>
      <c r="M187" s="2"/>
      <c r="N187" s="2"/>
    </row>
    <row r="188">
      <c r="A188" s="24" t="s">
        <v>191</v>
      </c>
      <c r="B188" s="17">
        <v>196000.0</v>
      </c>
      <c r="C188" s="61">
        <f t="shared" si="6"/>
        <v>215600</v>
      </c>
      <c r="D188" s="36"/>
      <c r="G188" s="38"/>
      <c r="I188" s="2"/>
      <c r="J188" s="15"/>
      <c r="K188" s="15"/>
      <c r="L188" s="2"/>
      <c r="M188" s="2"/>
      <c r="N188" s="2"/>
    </row>
    <row r="189">
      <c r="A189" s="24" t="s">
        <v>192</v>
      </c>
      <c r="B189" s="37">
        <v>140000.0</v>
      </c>
      <c r="C189" s="62">
        <f t="shared" si="6"/>
        <v>154000</v>
      </c>
      <c r="D189" s="36"/>
      <c r="G189" s="38"/>
      <c r="H189" s="15"/>
      <c r="I189" s="2"/>
      <c r="J189" s="24"/>
      <c r="K189" s="15"/>
      <c r="L189" s="2"/>
      <c r="M189" s="2"/>
      <c r="N189" s="2"/>
    </row>
    <row r="190">
      <c r="A190" s="21" t="s">
        <v>193</v>
      </c>
      <c r="B190" s="17"/>
      <c r="C190" s="61"/>
      <c r="D190" s="36"/>
      <c r="F190" s="15"/>
      <c r="G190" s="38"/>
      <c r="I190" s="2"/>
      <c r="J190" s="15"/>
      <c r="K190" s="15"/>
      <c r="L190" s="2"/>
      <c r="M190" s="2"/>
      <c r="N190" s="2"/>
    </row>
    <row r="191">
      <c r="A191" s="24" t="s">
        <v>194</v>
      </c>
      <c r="B191" s="17">
        <v>243000.0</v>
      </c>
      <c r="C191" s="61">
        <f t="shared" ref="C191:C202" si="7">(B191*1.1)</f>
        <v>267300</v>
      </c>
      <c r="D191" s="36"/>
      <c r="F191" s="15"/>
      <c r="G191" s="38"/>
      <c r="I191" s="2"/>
      <c r="J191" s="15"/>
      <c r="K191" s="15"/>
      <c r="L191" s="2"/>
      <c r="M191" s="2"/>
      <c r="N191" s="2"/>
    </row>
    <row r="192">
      <c r="A192" s="15" t="s">
        <v>195</v>
      </c>
      <c r="B192" s="17">
        <v>198000.0</v>
      </c>
      <c r="C192" s="61">
        <f t="shared" si="7"/>
        <v>217800</v>
      </c>
      <c r="D192" s="36"/>
      <c r="E192" s="35"/>
      <c r="G192" s="38"/>
      <c r="H192" s="15"/>
      <c r="I192" s="2"/>
      <c r="J192" s="24"/>
      <c r="K192" s="15"/>
      <c r="L192" s="2"/>
      <c r="M192" s="2"/>
      <c r="N192" s="2"/>
    </row>
    <row r="193">
      <c r="A193" s="21" t="s">
        <v>196</v>
      </c>
      <c r="B193" s="27">
        <v>417000.0</v>
      </c>
      <c r="C193" s="61">
        <f t="shared" si="7"/>
        <v>458700</v>
      </c>
      <c r="D193" s="36"/>
      <c r="E193" s="20"/>
      <c r="G193" s="38"/>
      <c r="I193" s="2"/>
      <c r="J193" s="15"/>
      <c r="K193" s="15"/>
      <c r="L193" s="2"/>
      <c r="M193" s="2"/>
      <c r="N193" s="2"/>
    </row>
    <row r="194">
      <c r="A194" s="24" t="s">
        <v>197</v>
      </c>
      <c r="B194" s="27">
        <v>350000.0</v>
      </c>
      <c r="C194" s="61">
        <f t="shared" si="7"/>
        <v>385000</v>
      </c>
      <c r="D194" s="36"/>
      <c r="E194" s="20"/>
      <c r="G194" s="38"/>
      <c r="I194" s="2"/>
      <c r="J194" s="15"/>
      <c r="K194" s="15"/>
      <c r="L194" s="2"/>
      <c r="M194" s="2"/>
      <c r="N194" s="2"/>
    </row>
    <row r="195">
      <c r="A195" s="24" t="s">
        <v>198</v>
      </c>
      <c r="B195" s="67">
        <v>280000.0</v>
      </c>
      <c r="C195" s="61">
        <f t="shared" si="7"/>
        <v>308000</v>
      </c>
      <c r="D195" s="36"/>
      <c r="E195" s="20"/>
      <c r="G195" s="38"/>
      <c r="H195" s="2"/>
      <c r="I195" s="2"/>
      <c r="J195" s="2"/>
      <c r="K195" s="2"/>
      <c r="L195" s="2"/>
      <c r="M195" s="2"/>
      <c r="N195" s="2"/>
    </row>
    <row r="196">
      <c r="A196" s="21" t="s">
        <v>199</v>
      </c>
      <c r="B196" s="67">
        <v>840000.0</v>
      </c>
      <c r="C196" s="61">
        <f t="shared" si="7"/>
        <v>924000</v>
      </c>
      <c r="D196" s="36"/>
      <c r="E196" s="20"/>
      <c r="G196" s="38"/>
      <c r="H196" s="2"/>
      <c r="I196" s="2"/>
      <c r="J196" s="2"/>
      <c r="K196" s="2"/>
      <c r="L196" s="2"/>
      <c r="M196" s="2"/>
      <c r="N196" s="2"/>
    </row>
    <row r="197">
      <c r="A197" s="24" t="s">
        <v>200</v>
      </c>
      <c r="B197" s="67">
        <v>650000.0</v>
      </c>
      <c r="C197" s="61">
        <f t="shared" si="7"/>
        <v>715000</v>
      </c>
      <c r="D197" s="36"/>
      <c r="E197" s="20"/>
      <c r="G197" s="38"/>
      <c r="H197" s="2"/>
      <c r="I197" s="2"/>
      <c r="J197" s="2"/>
      <c r="K197" s="2"/>
      <c r="L197" s="2"/>
      <c r="M197" s="2"/>
      <c r="N197" s="2"/>
    </row>
    <row r="198">
      <c r="A198" s="24" t="s">
        <v>201</v>
      </c>
      <c r="B198" s="67">
        <v>450000.0</v>
      </c>
      <c r="C198" s="61">
        <f t="shared" si="7"/>
        <v>495000</v>
      </c>
      <c r="D198" s="36"/>
      <c r="E198" s="20"/>
      <c r="G198" s="38"/>
      <c r="H198" s="2"/>
      <c r="I198" s="2"/>
      <c r="J198" s="2"/>
      <c r="K198" s="2"/>
      <c r="L198" s="2"/>
      <c r="M198" s="2"/>
      <c r="N198" s="2"/>
    </row>
    <row r="199">
      <c r="A199" s="21" t="s">
        <v>202</v>
      </c>
      <c r="B199" s="67"/>
      <c r="C199" s="61">
        <f t="shared" si="7"/>
        <v>0</v>
      </c>
      <c r="D199" s="36"/>
      <c r="E199" s="20"/>
      <c r="G199" s="38"/>
      <c r="H199" s="2"/>
      <c r="I199" s="2"/>
      <c r="J199" s="2"/>
      <c r="K199" s="2"/>
      <c r="L199" s="2"/>
      <c r="M199" s="2"/>
      <c r="N199" s="2"/>
    </row>
    <row r="200">
      <c r="A200" s="24" t="s">
        <v>203</v>
      </c>
      <c r="B200" s="67"/>
      <c r="C200" s="61">
        <f t="shared" si="7"/>
        <v>0</v>
      </c>
      <c r="D200" s="36"/>
      <c r="E200" s="20"/>
      <c r="G200" s="38"/>
      <c r="H200" s="2"/>
      <c r="I200" s="2"/>
      <c r="J200" s="2"/>
      <c r="K200" s="2"/>
      <c r="L200" s="2"/>
      <c r="M200" s="2"/>
      <c r="N200" s="2"/>
    </row>
    <row r="201">
      <c r="A201" s="24" t="s">
        <v>204</v>
      </c>
      <c r="B201" s="17">
        <v>450000.0</v>
      </c>
      <c r="C201" s="61">
        <f t="shared" si="7"/>
        <v>495000</v>
      </c>
      <c r="D201" s="36"/>
      <c r="E201" s="20"/>
      <c r="G201" s="38"/>
      <c r="H201" s="68"/>
      <c r="I201" s="2"/>
      <c r="J201" s="4"/>
      <c r="K201" s="14"/>
      <c r="L201" s="15"/>
      <c r="M201" s="4"/>
      <c r="N201" s="4"/>
    </row>
    <row r="202">
      <c r="A202" s="21" t="s">
        <v>205</v>
      </c>
      <c r="B202" s="17"/>
      <c r="C202" s="61">
        <f t="shared" si="7"/>
        <v>0</v>
      </c>
      <c r="D202" s="36"/>
      <c r="E202" s="20"/>
      <c r="G202" s="38"/>
      <c r="H202" s="68"/>
      <c r="I202" s="2"/>
      <c r="J202" s="4"/>
      <c r="K202" s="14"/>
      <c r="L202" s="15"/>
      <c r="M202" s="4"/>
      <c r="N202" s="4"/>
    </row>
    <row r="203">
      <c r="A203" s="24" t="s">
        <v>206</v>
      </c>
      <c r="B203" s="17"/>
      <c r="C203" s="18"/>
      <c r="D203" s="36"/>
      <c r="E203" s="20"/>
      <c r="G203" s="38"/>
      <c r="H203" s="68"/>
      <c r="I203" s="2"/>
      <c r="J203" s="4"/>
      <c r="K203" s="14"/>
      <c r="L203" s="15"/>
      <c r="M203" s="4"/>
      <c r="N203" s="4"/>
    </row>
    <row r="204">
      <c r="A204" s="21" t="s">
        <v>207</v>
      </c>
      <c r="B204" s="17"/>
      <c r="C204" s="18"/>
      <c r="D204" s="36"/>
      <c r="E204" s="20"/>
      <c r="G204" s="38"/>
      <c r="H204" s="68"/>
      <c r="I204" s="2"/>
      <c r="J204" s="4"/>
      <c r="K204" s="14"/>
      <c r="L204" s="15"/>
      <c r="M204" s="4"/>
      <c r="N204" s="4"/>
    </row>
    <row r="205">
      <c r="A205" s="24" t="s">
        <v>208</v>
      </c>
      <c r="B205" s="17"/>
      <c r="C205" s="18"/>
      <c r="D205" s="36"/>
      <c r="E205" s="20" t="s">
        <v>209</v>
      </c>
      <c r="G205" s="38"/>
      <c r="H205" s="68"/>
      <c r="I205" s="2"/>
      <c r="J205" s="4"/>
      <c r="K205" s="14"/>
      <c r="L205" s="15"/>
      <c r="M205" s="4"/>
      <c r="N205" s="4"/>
    </row>
    <row r="206">
      <c r="A206" s="21" t="s">
        <v>210</v>
      </c>
      <c r="B206" s="17"/>
      <c r="C206" s="18"/>
      <c r="D206" s="36"/>
      <c r="E206" s="20"/>
      <c r="G206" s="38"/>
      <c r="H206" s="68"/>
      <c r="I206" s="2"/>
      <c r="J206" s="4"/>
      <c r="K206" s="14"/>
      <c r="L206" s="15"/>
      <c r="M206" s="4"/>
      <c r="N206" s="4"/>
    </row>
    <row r="207">
      <c r="A207" s="24" t="s">
        <v>211</v>
      </c>
      <c r="B207" s="17"/>
      <c r="C207" s="18"/>
      <c r="D207" s="36"/>
      <c r="E207" s="20"/>
      <c r="G207" s="38"/>
      <c r="H207" s="68"/>
      <c r="I207" s="2"/>
      <c r="J207" s="4"/>
      <c r="K207" s="14"/>
      <c r="L207" s="15"/>
      <c r="M207" s="4"/>
      <c r="N207" s="4"/>
    </row>
    <row r="208">
      <c r="A208" s="21" t="s">
        <v>212</v>
      </c>
      <c r="B208" s="69">
        <v>1830000.0</v>
      </c>
      <c r="C208" s="18"/>
      <c r="D208" s="36"/>
      <c r="E208" s="20"/>
      <c r="G208" s="38"/>
      <c r="H208" s="68"/>
      <c r="I208" s="2"/>
      <c r="J208" s="4"/>
      <c r="K208" s="14"/>
      <c r="L208" s="15"/>
      <c r="M208" s="4"/>
      <c r="N208" s="4"/>
    </row>
    <row r="209">
      <c r="A209" s="24" t="s">
        <v>213</v>
      </c>
      <c r="B209" s="17"/>
      <c r="C209" s="18"/>
      <c r="D209" s="36"/>
      <c r="E209" s="20"/>
      <c r="G209" s="38"/>
      <c r="H209" s="68"/>
      <c r="I209" s="2"/>
      <c r="J209" s="4"/>
      <c r="K209" s="14"/>
      <c r="L209" s="15"/>
      <c r="M209" s="4"/>
      <c r="N209" s="4"/>
    </row>
    <row r="210">
      <c r="A210" s="21" t="s">
        <v>214</v>
      </c>
      <c r="B210" s="69">
        <v>2100000.0</v>
      </c>
      <c r="C210" s="18"/>
      <c r="D210" s="36"/>
      <c r="E210" s="20"/>
      <c r="G210" s="38"/>
      <c r="H210" s="68"/>
      <c r="I210" s="2"/>
      <c r="J210" s="4"/>
      <c r="K210" s="14"/>
      <c r="L210" s="15"/>
      <c r="M210" s="4"/>
      <c r="N210" s="4"/>
    </row>
    <row r="211">
      <c r="A211" s="24" t="s">
        <v>215</v>
      </c>
      <c r="B211" s="17"/>
      <c r="C211" s="18"/>
      <c r="D211" s="36"/>
      <c r="G211" s="38"/>
      <c r="H211" s="68"/>
      <c r="I211" s="2"/>
      <c r="J211" s="4"/>
      <c r="K211" s="14"/>
      <c r="L211" s="15"/>
      <c r="M211" s="4"/>
      <c r="N211" s="4"/>
    </row>
    <row r="212">
      <c r="A212" s="13"/>
      <c r="B212" s="4"/>
      <c r="C212" s="4"/>
      <c r="D212" s="4"/>
      <c r="G212" s="38"/>
      <c r="H212" s="68"/>
      <c r="I212" s="2"/>
      <c r="J212" s="4"/>
      <c r="K212" s="14"/>
      <c r="L212" s="15"/>
      <c r="M212" s="4"/>
      <c r="N212" s="4"/>
    </row>
    <row r="213">
      <c r="A213" s="13"/>
      <c r="B213" s="4"/>
      <c r="C213" s="4"/>
      <c r="D213" s="4"/>
      <c r="F213" s="15"/>
      <c r="G213" s="38"/>
      <c r="H213" s="68"/>
      <c r="I213" s="2"/>
      <c r="J213" s="4"/>
      <c r="K213" s="14"/>
      <c r="L213" s="15"/>
      <c r="M213" s="4"/>
      <c r="N213" s="4"/>
    </row>
    <row r="214">
      <c r="A214" s="70" t="s">
        <v>216</v>
      </c>
      <c r="B214" s="17" t="s">
        <v>145</v>
      </c>
      <c r="C214" s="18" t="s">
        <v>6</v>
      </c>
      <c r="D214" s="4"/>
      <c r="F214" s="15"/>
      <c r="G214" s="38"/>
      <c r="H214" s="68"/>
      <c r="I214" s="2"/>
      <c r="J214" s="4"/>
      <c r="K214" s="14"/>
      <c r="L214" s="15"/>
      <c r="M214" s="4"/>
      <c r="N214" s="4"/>
    </row>
    <row r="215">
      <c r="A215" s="28" t="s">
        <v>217</v>
      </c>
      <c r="B215" s="17">
        <v>31000.0</v>
      </c>
      <c r="C215" s="61">
        <f t="shared" ref="C215:C230" si="8">(B215*1.1)</f>
        <v>34100</v>
      </c>
      <c r="D215" s="71"/>
      <c r="E215" s="35"/>
      <c r="G215" s="38"/>
      <c r="H215" s="20"/>
      <c r="I215" s="2"/>
      <c r="J215" s="15"/>
      <c r="K215" s="15"/>
      <c r="L215" s="15"/>
      <c r="M215" s="15"/>
      <c r="N215" s="15"/>
    </row>
    <row r="216">
      <c r="A216" s="28" t="s">
        <v>218</v>
      </c>
      <c r="B216" s="17">
        <v>32000.0</v>
      </c>
      <c r="C216" s="61">
        <f t="shared" si="8"/>
        <v>35200</v>
      </c>
      <c r="D216" s="71"/>
      <c r="E216" s="20"/>
      <c r="G216" s="38"/>
      <c r="H216" s="20"/>
      <c r="I216" s="2"/>
      <c r="J216" s="15"/>
      <c r="K216" s="15"/>
      <c r="L216" s="15"/>
      <c r="M216" s="15"/>
      <c r="N216" s="15"/>
    </row>
    <row r="217">
      <c r="A217" s="28" t="s">
        <v>219</v>
      </c>
      <c r="B217" s="17">
        <v>20500.0</v>
      </c>
      <c r="C217" s="61">
        <f t="shared" si="8"/>
        <v>22550</v>
      </c>
      <c r="D217" s="71"/>
      <c r="E217" s="20"/>
      <c r="G217" s="38"/>
      <c r="H217" s="20"/>
      <c r="I217" s="2"/>
      <c r="J217" s="15"/>
      <c r="K217" s="15"/>
      <c r="L217" s="15"/>
      <c r="M217" s="15"/>
      <c r="N217" s="15"/>
    </row>
    <row r="218">
      <c r="A218" s="28" t="s">
        <v>220</v>
      </c>
      <c r="B218" s="17">
        <v>23000.0</v>
      </c>
      <c r="C218" s="61">
        <f t="shared" si="8"/>
        <v>25300</v>
      </c>
      <c r="D218" s="71"/>
      <c r="E218" s="20"/>
      <c r="G218" s="38"/>
      <c r="H218" s="20"/>
      <c r="I218" s="2"/>
      <c r="J218" s="24"/>
      <c r="K218" s="15"/>
      <c r="L218" s="15"/>
      <c r="M218" s="15"/>
      <c r="N218" s="2"/>
    </row>
    <row r="219">
      <c r="A219" s="47" t="s">
        <v>221</v>
      </c>
      <c r="B219" s="17">
        <v>26900.0</v>
      </c>
      <c r="C219" s="61">
        <f t="shared" si="8"/>
        <v>29590</v>
      </c>
      <c r="D219" s="71"/>
      <c r="E219" s="20"/>
      <c r="G219" s="38"/>
      <c r="H219" s="20"/>
      <c r="I219" s="2"/>
      <c r="J219" s="15"/>
      <c r="K219" s="15"/>
      <c r="L219" s="15"/>
      <c r="M219" s="15"/>
      <c r="N219" s="15"/>
    </row>
    <row r="220">
      <c r="A220" s="28" t="s">
        <v>222</v>
      </c>
      <c r="B220" s="17">
        <v>23500.0</v>
      </c>
      <c r="C220" s="61">
        <f t="shared" si="8"/>
        <v>25850</v>
      </c>
      <c r="D220" s="71"/>
      <c r="E220" s="20"/>
      <c r="G220" s="38"/>
      <c r="H220" s="20"/>
      <c r="I220" s="2"/>
      <c r="J220" s="15"/>
      <c r="K220" s="15"/>
      <c r="L220" s="15"/>
      <c r="M220" s="15"/>
      <c r="N220" s="15"/>
    </row>
    <row r="221">
      <c r="A221" s="28" t="s">
        <v>223</v>
      </c>
      <c r="B221" s="17">
        <v>35000.0</v>
      </c>
      <c r="C221" s="61">
        <f t="shared" si="8"/>
        <v>38500</v>
      </c>
      <c r="D221" s="71"/>
      <c r="E221" s="20"/>
      <c r="G221" s="38"/>
      <c r="H221" s="20"/>
      <c r="I221" s="2"/>
      <c r="J221" s="15"/>
      <c r="K221" s="15"/>
      <c r="L221" s="15"/>
      <c r="M221" s="15"/>
      <c r="N221" s="15"/>
    </row>
    <row r="222">
      <c r="A222" s="28" t="s">
        <v>224</v>
      </c>
      <c r="B222" s="17">
        <v>43000.0</v>
      </c>
      <c r="C222" s="61">
        <f t="shared" si="8"/>
        <v>47300</v>
      </c>
      <c r="D222" s="72"/>
      <c r="E222" s="20"/>
      <c r="G222" s="38"/>
      <c r="H222" s="20"/>
      <c r="I222" s="2"/>
      <c r="J222" s="15"/>
      <c r="K222" s="15"/>
      <c r="L222" s="15"/>
      <c r="M222" s="15"/>
      <c r="N222" s="15"/>
    </row>
    <row r="223">
      <c r="A223" s="28" t="s">
        <v>225</v>
      </c>
      <c r="B223" s="17">
        <v>46700.0</v>
      </c>
      <c r="C223" s="61">
        <f t="shared" si="8"/>
        <v>51370</v>
      </c>
      <c r="D223" s="71"/>
      <c r="E223" s="20"/>
      <c r="G223" s="38"/>
      <c r="H223" s="20"/>
      <c r="I223" s="2"/>
      <c r="J223" s="15"/>
      <c r="K223" s="15"/>
      <c r="L223" s="15"/>
      <c r="M223" s="15"/>
      <c r="N223" s="15"/>
    </row>
    <row r="224">
      <c r="A224" s="28" t="s">
        <v>226</v>
      </c>
      <c r="B224" s="17">
        <v>45700.0</v>
      </c>
      <c r="C224" s="61">
        <f t="shared" si="8"/>
        <v>50270</v>
      </c>
      <c r="D224" s="71"/>
      <c r="E224" s="20"/>
      <c r="G224" s="38"/>
      <c r="H224" s="20"/>
      <c r="I224" s="2"/>
      <c r="J224" s="15"/>
      <c r="K224" s="15"/>
      <c r="L224" s="15"/>
      <c r="M224" s="15"/>
      <c r="N224" s="15"/>
    </row>
    <row r="225">
      <c r="A225" s="28" t="s">
        <v>227</v>
      </c>
      <c r="B225" s="17">
        <v>45700.0</v>
      </c>
      <c r="C225" s="61">
        <f t="shared" si="8"/>
        <v>50270</v>
      </c>
      <c r="D225" s="71"/>
      <c r="E225" s="20"/>
      <c r="G225" s="38"/>
      <c r="H225" s="20"/>
      <c r="I225" s="2"/>
      <c r="J225" s="15"/>
      <c r="K225" s="15"/>
      <c r="L225" s="15"/>
      <c r="M225" s="15"/>
      <c r="N225" s="15"/>
    </row>
    <row r="226">
      <c r="A226" s="47" t="s">
        <v>228</v>
      </c>
      <c r="B226" s="17"/>
      <c r="C226" s="61">
        <f t="shared" si="8"/>
        <v>0</v>
      </c>
      <c r="D226" s="71"/>
      <c r="E226" s="20"/>
      <c r="G226" s="38"/>
      <c r="H226" s="20"/>
      <c r="I226" s="2"/>
      <c r="J226" s="15"/>
      <c r="K226" s="15"/>
      <c r="L226" s="15"/>
      <c r="M226" s="15"/>
      <c r="N226" s="15"/>
    </row>
    <row r="227">
      <c r="A227" s="20" t="s">
        <v>229</v>
      </c>
      <c r="B227" s="17">
        <v>40500.0</v>
      </c>
      <c r="C227" s="61">
        <f t="shared" si="8"/>
        <v>44550</v>
      </c>
      <c r="D227" s="71"/>
      <c r="E227" s="20"/>
      <c r="G227" s="38"/>
      <c r="H227" s="20"/>
      <c r="I227" s="2"/>
      <c r="J227" s="15"/>
      <c r="K227" s="15"/>
      <c r="L227" s="15"/>
      <c r="M227" s="15"/>
      <c r="N227" s="15"/>
    </row>
    <row r="228">
      <c r="A228" s="15" t="s">
        <v>230</v>
      </c>
      <c r="B228" s="17">
        <v>48300.0</v>
      </c>
      <c r="C228" s="61">
        <f t="shared" si="8"/>
        <v>53130</v>
      </c>
      <c r="D228" s="71"/>
      <c r="E228" s="20"/>
      <c r="G228" s="38"/>
      <c r="H228" s="20"/>
      <c r="I228" s="2"/>
      <c r="J228" s="15"/>
      <c r="K228" s="15"/>
      <c r="L228" s="15"/>
      <c r="M228" s="2"/>
      <c r="N228" s="15"/>
    </row>
    <row r="229">
      <c r="A229" s="28" t="s">
        <v>231</v>
      </c>
      <c r="B229" s="17">
        <v>47000.0</v>
      </c>
      <c r="C229" s="61">
        <f t="shared" si="8"/>
        <v>51700</v>
      </c>
      <c r="D229" s="71"/>
      <c r="E229" s="20"/>
      <c r="G229" s="38"/>
      <c r="H229" s="20"/>
      <c r="I229" s="2"/>
      <c r="J229" s="15"/>
      <c r="K229" s="15"/>
      <c r="L229" s="15"/>
      <c r="M229" s="15"/>
      <c r="N229" s="15"/>
    </row>
    <row r="230">
      <c r="A230" s="15" t="s">
        <v>232</v>
      </c>
      <c r="B230" s="17">
        <v>48300.0</v>
      </c>
      <c r="C230" s="61">
        <f t="shared" si="8"/>
        <v>53130</v>
      </c>
      <c r="D230" s="71"/>
      <c r="E230" s="20"/>
      <c r="G230" s="38"/>
      <c r="H230" s="15"/>
      <c r="I230" s="2"/>
      <c r="J230" s="15"/>
      <c r="K230" s="15"/>
      <c r="L230" s="15"/>
      <c r="M230" s="15"/>
      <c r="N230" s="15"/>
    </row>
    <row r="231">
      <c r="A231" s="15" t="s">
        <v>233</v>
      </c>
      <c r="B231" s="17">
        <v>43700.0</v>
      </c>
      <c r="C231" s="18">
        <v>45000.0</v>
      </c>
      <c r="D231" s="71"/>
      <c r="E231" s="20"/>
      <c r="G231" s="38"/>
      <c r="H231" s="20"/>
      <c r="I231" s="2"/>
      <c r="J231" s="15"/>
      <c r="K231" s="15"/>
      <c r="L231" s="15"/>
      <c r="M231" s="15"/>
      <c r="N231" s="15"/>
    </row>
    <row r="232">
      <c r="A232" s="28" t="s">
        <v>234</v>
      </c>
      <c r="B232" s="17">
        <v>43700.0</v>
      </c>
      <c r="C232" s="61">
        <f t="shared" ref="C232:C235" si="9">(B232*1.1)</f>
        <v>48070</v>
      </c>
      <c r="D232" s="73"/>
      <c r="E232" s="20"/>
      <c r="G232" s="38"/>
      <c r="H232" s="15"/>
      <c r="I232" s="2"/>
      <c r="J232" s="24"/>
      <c r="K232" s="15"/>
      <c r="M232" s="15"/>
      <c r="N232" s="15"/>
    </row>
    <row r="233">
      <c r="A233" s="15" t="s">
        <v>235</v>
      </c>
      <c r="B233" s="17">
        <v>43700.0</v>
      </c>
      <c r="C233" s="61">
        <f t="shared" si="9"/>
        <v>48070</v>
      </c>
      <c r="D233" s="73"/>
      <c r="E233" s="20"/>
      <c r="G233" s="38"/>
      <c r="H233" s="15"/>
      <c r="I233" s="2"/>
      <c r="J233" s="15"/>
      <c r="K233" s="15"/>
      <c r="M233" s="15"/>
      <c r="N233" s="15"/>
    </row>
    <row r="234">
      <c r="A234" s="15" t="s">
        <v>236</v>
      </c>
      <c r="B234" s="17">
        <v>43700.0</v>
      </c>
      <c r="C234" s="61">
        <f t="shared" si="9"/>
        <v>48070</v>
      </c>
      <c r="D234" s="73"/>
      <c r="G234" s="38"/>
      <c r="I234" s="2"/>
      <c r="J234" s="31"/>
      <c r="K234" s="15"/>
      <c r="M234" s="15"/>
      <c r="N234" s="15"/>
    </row>
    <row r="235">
      <c r="A235" s="47" t="s">
        <v>237</v>
      </c>
      <c r="B235" s="17">
        <v>52000.0</v>
      </c>
      <c r="C235" s="61">
        <f t="shared" si="9"/>
        <v>57200</v>
      </c>
      <c r="D235" s="73"/>
      <c r="G235" s="38"/>
      <c r="I235" s="2"/>
      <c r="J235" s="24"/>
      <c r="K235" s="15"/>
      <c r="M235" s="2"/>
      <c r="N235" s="2"/>
    </row>
    <row r="236">
      <c r="A236" s="47" t="s">
        <v>238</v>
      </c>
      <c r="B236" s="17">
        <v>53000.0</v>
      </c>
      <c r="C236" s="18">
        <v>58300.0</v>
      </c>
      <c r="D236" s="73"/>
      <c r="F236" s="15"/>
      <c r="G236" s="38"/>
      <c r="I236" s="2"/>
      <c r="J236" s="15"/>
      <c r="K236" s="15"/>
      <c r="M236" s="2"/>
      <c r="N236" s="2"/>
    </row>
    <row r="237">
      <c r="A237" s="47" t="s">
        <v>239</v>
      </c>
      <c r="B237" s="17">
        <v>44000.0</v>
      </c>
      <c r="C237" s="61">
        <f t="shared" ref="C237:C318" si="10">(B237*1.1)</f>
        <v>48400</v>
      </c>
      <c r="D237" s="73"/>
      <c r="F237" s="15"/>
      <c r="G237" s="38"/>
      <c r="I237" s="2"/>
      <c r="J237" s="15"/>
      <c r="K237" s="15"/>
      <c r="M237" s="2"/>
      <c r="N237" s="2"/>
    </row>
    <row r="238">
      <c r="A238" s="47" t="s">
        <v>240</v>
      </c>
      <c r="B238" s="17">
        <v>47800.0</v>
      </c>
      <c r="C238" s="61">
        <f t="shared" si="10"/>
        <v>52580</v>
      </c>
      <c r="D238" s="73"/>
      <c r="F238" s="15"/>
      <c r="G238" s="38"/>
      <c r="H238" s="15"/>
      <c r="I238" s="2"/>
      <c r="J238" s="15"/>
      <c r="K238" s="15"/>
      <c r="M238" s="15"/>
      <c r="N238" s="15"/>
    </row>
    <row r="239">
      <c r="A239" s="47" t="s">
        <v>241</v>
      </c>
      <c r="B239" s="17">
        <v>50600.0</v>
      </c>
      <c r="C239" s="61">
        <f t="shared" si="10"/>
        <v>55660</v>
      </c>
      <c r="D239" s="73"/>
      <c r="E239" s="20"/>
      <c r="G239" s="38"/>
      <c r="H239" s="15"/>
      <c r="I239" s="2"/>
      <c r="J239" s="24"/>
      <c r="K239" s="15"/>
      <c r="M239" s="15"/>
      <c r="N239" s="15"/>
    </row>
    <row r="240">
      <c r="A240" s="24" t="s">
        <v>242</v>
      </c>
      <c r="B240" s="17">
        <v>58600.0</v>
      </c>
      <c r="C240" s="61">
        <f t="shared" si="10"/>
        <v>64460</v>
      </c>
      <c r="D240" s="73"/>
      <c r="E240" s="20"/>
      <c r="G240" s="38"/>
      <c r="H240" s="15"/>
      <c r="I240" s="2"/>
      <c r="J240" s="24"/>
      <c r="K240" s="15"/>
      <c r="M240" s="15"/>
      <c r="N240" s="15"/>
    </row>
    <row r="241">
      <c r="A241" s="28" t="s">
        <v>243</v>
      </c>
      <c r="B241" s="17">
        <v>51500.0</v>
      </c>
      <c r="C241" s="61">
        <f t="shared" si="10"/>
        <v>56650</v>
      </c>
      <c r="D241" s="73"/>
      <c r="E241" s="20"/>
      <c r="G241" s="38"/>
      <c r="H241" s="15"/>
      <c r="I241" s="2"/>
      <c r="J241" s="24"/>
      <c r="K241" s="15"/>
      <c r="M241" s="15"/>
      <c r="N241" s="15"/>
    </row>
    <row r="242">
      <c r="C242" s="61">
        <f t="shared" si="10"/>
        <v>0</v>
      </c>
      <c r="D242" s="74"/>
      <c r="E242" s="20"/>
      <c r="G242" s="38"/>
      <c r="H242" s="15"/>
      <c r="I242" s="2"/>
      <c r="J242" s="15"/>
      <c r="K242" s="15"/>
      <c r="M242" s="15"/>
      <c r="N242" s="15"/>
    </row>
    <row r="243">
      <c r="A243" s="28" t="s">
        <v>244</v>
      </c>
      <c r="B243" s="17">
        <v>27600.0</v>
      </c>
      <c r="C243" s="61">
        <f t="shared" si="10"/>
        <v>30360</v>
      </c>
      <c r="D243" s="73"/>
      <c r="E243" s="20"/>
      <c r="G243" s="38"/>
      <c r="H243" s="15"/>
      <c r="I243" s="2"/>
      <c r="J243" s="24"/>
      <c r="K243" s="15"/>
      <c r="M243" s="24"/>
      <c r="N243" s="15"/>
    </row>
    <row r="244">
      <c r="A244" s="28" t="s">
        <v>245</v>
      </c>
      <c r="B244" s="17">
        <v>28300.0</v>
      </c>
      <c r="C244" s="61">
        <f t="shared" si="10"/>
        <v>31130</v>
      </c>
      <c r="D244" s="73"/>
      <c r="E244" s="20"/>
      <c r="G244" s="38"/>
      <c r="H244" s="15"/>
      <c r="I244" s="2"/>
      <c r="J244" s="24"/>
      <c r="K244" s="15"/>
      <c r="M244" s="15"/>
      <c r="N244" s="15"/>
    </row>
    <row r="245">
      <c r="A245" s="28" t="s">
        <v>246</v>
      </c>
      <c r="B245" s="17">
        <v>29600.0</v>
      </c>
      <c r="C245" s="61">
        <f t="shared" si="10"/>
        <v>32560</v>
      </c>
      <c r="D245" s="75"/>
      <c r="E245" s="20"/>
      <c r="G245" s="38"/>
      <c r="H245" s="15"/>
      <c r="I245" s="2"/>
      <c r="J245" s="15"/>
      <c r="K245" s="15"/>
      <c r="M245" s="15"/>
      <c r="N245" s="15"/>
    </row>
    <row r="246">
      <c r="A246" s="20" t="s">
        <v>247</v>
      </c>
      <c r="B246" s="17">
        <v>40300.0</v>
      </c>
      <c r="C246" s="61">
        <f t="shared" si="10"/>
        <v>44330</v>
      </c>
      <c r="D246" s="75"/>
      <c r="E246" s="20"/>
      <c r="G246" s="38"/>
      <c r="H246" s="15"/>
      <c r="I246" s="2"/>
      <c r="J246" s="15"/>
      <c r="K246" s="15"/>
      <c r="M246" s="15"/>
      <c r="N246" s="15"/>
    </row>
    <row r="247">
      <c r="A247" s="28" t="s">
        <v>248</v>
      </c>
      <c r="B247" s="17">
        <v>40300.0</v>
      </c>
      <c r="C247" s="61">
        <f t="shared" si="10"/>
        <v>44330</v>
      </c>
      <c r="D247" s="75"/>
      <c r="E247" s="20"/>
      <c r="G247" s="38"/>
      <c r="H247" s="15"/>
      <c r="I247" s="2"/>
      <c r="J247" s="15"/>
      <c r="K247" s="15"/>
      <c r="M247" s="15"/>
      <c r="N247" s="15"/>
    </row>
    <row r="248">
      <c r="A248" s="28" t="s">
        <v>249</v>
      </c>
      <c r="B248" s="17">
        <v>40900.0</v>
      </c>
      <c r="C248" s="61">
        <f t="shared" si="10"/>
        <v>44990</v>
      </c>
      <c r="D248" s="75"/>
      <c r="E248" s="20"/>
      <c r="G248" s="38"/>
      <c r="H248" s="15"/>
      <c r="I248" s="2"/>
      <c r="J248" s="15"/>
      <c r="K248" s="15"/>
      <c r="M248" s="15"/>
      <c r="N248" s="15"/>
    </row>
    <row r="249">
      <c r="A249" s="28" t="s">
        <v>250</v>
      </c>
      <c r="B249" s="17">
        <v>41500.0</v>
      </c>
      <c r="C249" s="61">
        <f t="shared" si="10"/>
        <v>45650</v>
      </c>
      <c r="D249" s="75"/>
      <c r="E249" s="20"/>
      <c r="G249" s="38"/>
      <c r="H249" s="20"/>
      <c r="I249" s="2"/>
      <c r="J249" s="15"/>
      <c r="K249" s="15"/>
      <c r="M249" s="15"/>
      <c r="N249" s="15"/>
    </row>
    <row r="250">
      <c r="A250" s="28" t="s">
        <v>251</v>
      </c>
      <c r="B250" s="17">
        <v>41500.0</v>
      </c>
      <c r="C250" s="61">
        <f t="shared" si="10"/>
        <v>45650</v>
      </c>
      <c r="D250" s="75"/>
      <c r="E250" s="20"/>
      <c r="G250" s="38"/>
      <c r="H250" s="20"/>
      <c r="I250" s="2"/>
      <c r="J250" s="15"/>
      <c r="K250" s="15"/>
      <c r="M250" s="15"/>
      <c r="N250" s="15"/>
    </row>
    <row r="251">
      <c r="A251" s="28" t="s">
        <v>252</v>
      </c>
      <c r="B251" s="17">
        <v>41500.0</v>
      </c>
      <c r="C251" s="61">
        <f t="shared" si="10"/>
        <v>45650</v>
      </c>
      <c r="D251" s="75"/>
      <c r="E251" s="20"/>
      <c r="G251" s="38"/>
      <c r="H251" s="20"/>
      <c r="I251" s="2"/>
      <c r="J251" s="15"/>
      <c r="K251" s="15"/>
      <c r="M251" s="15"/>
      <c r="N251" s="15"/>
    </row>
    <row r="252">
      <c r="A252" s="28" t="s">
        <v>253</v>
      </c>
      <c r="B252" s="17">
        <v>41500.0</v>
      </c>
      <c r="C252" s="61">
        <f t="shared" si="10"/>
        <v>45650</v>
      </c>
      <c r="D252" s="73"/>
      <c r="E252" s="20"/>
      <c r="G252" s="38"/>
      <c r="H252" s="20"/>
      <c r="I252" s="2"/>
      <c r="J252" s="15"/>
      <c r="K252" s="15"/>
      <c r="M252" s="2"/>
      <c r="N252" s="2"/>
    </row>
    <row r="253">
      <c r="A253" s="45" t="s">
        <v>254</v>
      </c>
      <c r="B253" s="17">
        <v>47800.0</v>
      </c>
      <c r="C253" s="61">
        <f t="shared" si="10"/>
        <v>52580</v>
      </c>
      <c r="D253" s="73"/>
      <c r="E253" s="20"/>
      <c r="G253" s="38"/>
      <c r="H253" s="20"/>
      <c r="I253" s="2"/>
      <c r="J253" s="15"/>
      <c r="K253" s="15"/>
      <c r="M253" s="15"/>
      <c r="N253" s="15"/>
    </row>
    <row r="254">
      <c r="A254" s="28" t="s">
        <v>255</v>
      </c>
      <c r="B254" s="17">
        <v>47800.0</v>
      </c>
      <c r="C254" s="61">
        <f t="shared" si="10"/>
        <v>52580</v>
      </c>
      <c r="D254" s="73"/>
      <c r="E254" s="20"/>
      <c r="G254" s="38"/>
      <c r="H254" s="20"/>
      <c r="I254" s="2"/>
      <c r="J254" s="15"/>
      <c r="K254" s="15"/>
      <c r="M254" s="2"/>
      <c r="N254" s="2"/>
    </row>
    <row r="255">
      <c r="A255" s="28" t="s">
        <v>256</v>
      </c>
      <c r="B255" s="17">
        <v>43000.0</v>
      </c>
      <c r="C255" s="61">
        <f t="shared" si="10"/>
        <v>47300</v>
      </c>
      <c r="D255" s="73"/>
      <c r="G255" s="38"/>
      <c r="H255" s="20"/>
      <c r="I255" s="2"/>
      <c r="J255" s="15"/>
      <c r="K255" s="15"/>
      <c r="M255" s="15"/>
      <c r="N255" s="15"/>
    </row>
    <row r="256">
      <c r="A256" s="28" t="s">
        <v>257</v>
      </c>
      <c r="B256" s="17">
        <v>57500.0</v>
      </c>
      <c r="C256" s="61">
        <f t="shared" si="10"/>
        <v>63250</v>
      </c>
      <c r="D256" s="73"/>
      <c r="G256" s="38"/>
      <c r="H256" s="20"/>
      <c r="I256" s="2"/>
      <c r="J256" s="15"/>
      <c r="K256" s="15"/>
      <c r="M256" s="15"/>
      <c r="N256" s="15"/>
    </row>
    <row r="257">
      <c r="A257" s="28" t="s">
        <v>258</v>
      </c>
      <c r="B257" s="17">
        <v>45300.0</v>
      </c>
      <c r="C257" s="61">
        <f t="shared" si="10"/>
        <v>49830</v>
      </c>
      <c r="D257" s="73"/>
      <c r="F257" s="15"/>
      <c r="G257" s="38"/>
      <c r="H257" s="20"/>
      <c r="I257" s="2"/>
      <c r="J257" s="15"/>
      <c r="K257" s="15"/>
      <c r="M257" s="2"/>
      <c r="N257" s="2"/>
    </row>
    <row r="258">
      <c r="A258" s="28" t="s">
        <v>259</v>
      </c>
      <c r="B258" s="17">
        <v>54500.0</v>
      </c>
      <c r="C258" s="61">
        <f t="shared" si="10"/>
        <v>59950</v>
      </c>
      <c r="D258" s="73"/>
      <c r="E258" s="20"/>
      <c r="G258" s="38"/>
      <c r="H258" s="15"/>
      <c r="I258" s="2"/>
      <c r="J258" s="15"/>
      <c r="K258" s="15"/>
      <c r="M258" s="15"/>
      <c r="N258" s="15"/>
    </row>
    <row r="259">
      <c r="A259" s="15" t="s">
        <v>260</v>
      </c>
      <c r="B259" s="17">
        <v>58600.0</v>
      </c>
      <c r="C259" s="61">
        <f t="shared" si="10"/>
        <v>64460</v>
      </c>
      <c r="D259" s="73"/>
      <c r="E259" s="20"/>
      <c r="G259" s="38"/>
      <c r="H259" s="15"/>
      <c r="J259" s="15"/>
      <c r="K259" s="15"/>
      <c r="M259" s="2"/>
      <c r="N259" s="2"/>
    </row>
    <row r="260">
      <c r="A260" s="28" t="s">
        <v>261</v>
      </c>
      <c r="B260" s="17">
        <v>52900.0</v>
      </c>
      <c r="C260" s="61">
        <f t="shared" si="10"/>
        <v>58190</v>
      </c>
      <c r="D260" s="73"/>
      <c r="E260" s="20"/>
      <c r="G260" s="38"/>
      <c r="H260" s="15"/>
      <c r="J260" s="15"/>
      <c r="K260" s="15"/>
      <c r="M260" s="15"/>
      <c r="N260" s="15"/>
    </row>
    <row r="261">
      <c r="A261" s="28" t="s">
        <v>262</v>
      </c>
      <c r="B261" s="17">
        <v>51700.0</v>
      </c>
      <c r="C261" s="61">
        <f t="shared" si="10"/>
        <v>56870</v>
      </c>
      <c r="D261" s="73"/>
      <c r="E261" s="20"/>
      <c r="G261" s="38"/>
      <c r="H261" s="15"/>
      <c r="I261" s="2"/>
      <c r="J261" s="15"/>
      <c r="K261" s="15"/>
      <c r="M261" s="15"/>
      <c r="N261" s="15"/>
    </row>
    <row r="262">
      <c r="A262" s="20" t="s">
        <v>263</v>
      </c>
      <c r="B262" s="17">
        <v>63200.0</v>
      </c>
      <c r="C262" s="61">
        <f t="shared" si="10"/>
        <v>69520</v>
      </c>
      <c r="D262" s="73"/>
      <c r="E262" s="20"/>
      <c r="G262" s="38"/>
      <c r="H262" s="15"/>
      <c r="I262" s="2"/>
      <c r="J262" s="15"/>
      <c r="K262" s="15"/>
      <c r="M262" s="15"/>
      <c r="N262" s="15"/>
    </row>
    <row r="263">
      <c r="A263" s="15" t="s">
        <v>264</v>
      </c>
      <c r="B263" s="17">
        <v>52900.0</v>
      </c>
      <c r="C263" s="61">
        <f t="shared" si="10"/>
        <v>58190</v>
      </c>
      <c r="D263" s="73"/>
      <c r="E263" s="20"/>
      <c r="G263" s="38"/>
      <c r="H263" s="15"/>
      <c r="I263" s="2"/>
      <c r="J263" s="15"/>
      <c r="K263" s="15"/>
      <c r="M263" s="15"/>
      <c r="N263" s="15"/>
    </row>
    <row r="264">
      <c r="A264" s="15" t="s">
        <v>265</v>
      </c>
      <c r="B264" s="37">
        <v>53000.0</v>
      </c>
      <c r="C264" s="62">
        <f t="shared" si="10"/>
        <v>58300</v>
      </c>
      <c r="D264" s="75"/>
      <c r="E264" s="20"/>
      <c r="G264" s="38"/>
      <c r="H264" s="15"/>
      <c r="I264" s="2"/>
      <c r="J264" s="15"/>
      <c r="K264" s="15"/>
      <c r="M264" s="15"/>
      <c r="N264" s="15"/>
    </row>
    <row r="265">
      <c r="A265" s="15" t="s">
        <v>266</v>
      </c>
      <c r="B265" s="17">
        <v>56300.0</v>
      </c>
      <c r="C265" s="61">
        <f t="shared" si="10"/>
        <v>61930</v>
      </c>
      <c r="D265" s="73"/>
      <c r="E265" s="20"/>
      <c r="G265" s="38"/>
      <c r="H265" s="15"/>
      <c r="I265" s="2"/>
      <c r="J265" s="15"/>
      <c r="K265" s="15"/>
      <c r="M265" s="15"/>
      <c r="N265" s="15"/>
    </row>
    <row r="266">
      <c r="A266" s="28" t="s">
        <v>267</v>
      </c>
      <c r="B266" s="17">
        <v>56300.0</v>
      </c>
      <c r="C266" s="61">
        <f t="shared" si="10"/>
        <v>61930</v>
      </c>
      <c r="D266" s="73"/>
      <c r="E266" s="20"/>
      <c r="G266" s="38"/>
      <c r="H266" s="15"/>
      <c r="I266" s="2"/>
      <c r="J266" s="15"/>
      <c r="K266" s="15"/>
      <c r="M266" s="15"/>
      <c r="N266" s="15"/>
    </row>
    <row r="267">
      <c r="A267" s="15" t="s">
        <v>268</v>
      </c>
      <c r="B267" s="17">
        <v>56300.0</v>
      </c>
      <c r="C267" s="61">
        <f t="shared" si="10"/>
        <v>61930</v>
      </c>
      <c r="D267" s="73"/>
      <c r="E267" s="20"/>
      <c r="G267" s="38"/>
      <c r="H267" s="15"/>
      <c r="I267" s="2"/>
      <c r="J267" s="15"/>
      <c r="K267" s="15"/>
      <c r="M267" s="15"/>
      <c r="N267" s="15"/>
    </row>
    <row r="268">
      <c r="A268" s="15" t="s">
        <v>269</v>
      </c>
      <c r="B268" s="17">
        <v>48000.0</v>
      </c>
      <c r="C268" s="61">
        <f t="shared" si="10"/>
        <v>52800</v>
      </c>
      <c r="D268" s="73"/>
      <c r="E268" s="20"/>
      <c r="G268" s="38"/>
      <c r="H268" s="20"/>
      <c r="I268" s="2"/>
      <c r="J268" s="22"/>
      <c r="K268" s="15"/>
      <c r="M268" s="15"/>
      <c r="N268" s="15"/>
    </row>
    <row r="269">
      <c r="A269" s="15" t="s">
        <v>270</v>
      </c>
      <c r="B269" s="17">
        <v>48000.0</v>
      </c>
      <c r="C269" s="61">
        <f t="shared" si="10"/>
        <v>52800</v>
      </c>
      <c r="D269" s="73"/>
      <c r="E269" s="20"/>
      <c r="G269" s="38"/>
      <c r="H269" s="20"/>
      <c r="I269" s="2"/>
      <c r="J269" s="2"/>
      <c r="K269" s="2"/>
      <c r="N269" s="2"/>
    </row>
    <row r="270">
      <c r="A270" s="47" t="s">
        <v>271</v>
      </c>
      <c r="B270" s="17">
        <v>54000.0</v>
      </c>
      <c r="C270" s="61">
        <f t="shared" si="10"/>
        <v>59400</v>
      </c>
      <c r="D270" s="75"/>
      <c r="E270" s="20"/>
      <c r="G270" s="38"/>
      <c r="H270" s="20"/>
      <c r="I270" s="2"/>
      <c r="J270" s="22"/>
      <c r="K270" s="15"/>
      <c r="M270" s="15"/>
      <c r="N270" s="15"/>
    </row>
    <row r="271">
      <c r="A271" s="47" t="s">
        <v>272</v>
      </c>
      <c r="B271" s="17">
        <v>80500.0</v>
      </c>
      <c r="C271" s="61">
        <f t="shared" si="10"/>
        <v>88550</v>
      </c>
      <c r="D271" s="75"/>
      <c r="E271" s="20"/>
      <c r="G271" s="38"/>
      <c r="H271" s="20"/>
      <c r="I271" s="2"/>
      <c r="J271" s="22"/>
      <c r="K271" s="15"/>
      <c r="M271" s="15"/>
      <c r="N271" s="15"/>
    </row>
    <row r="272">
      <c r="A272" s="15" t="s">
        <v>273</v>
      </c>
      <c r="B272" s="17">
        <v>45000.0</v>
      </c>
      <c r="C272" s="61">
        <f t="shared" si="10"/>
        <v>49500</v>
      </c>
      <c r="D272" s="75"/>
      <c r="E272" s="20"/>
      <c r="G272" s="38"/>
      <c r="H272" s="20"/>
      <c r="I272" s="2"/>
      <c r="J272" s="22"/>
      <c r="K272" s="15"/>
      <c r="M272" s="15"/>
      <c r="N272" s="15"/>
    </row>
    <row r="273">
      <c r="A273" s="15" t="s">
        <v>274</v>
      </c>
      <c r="B273" s="17">
        <v>54000.0</v>
      </c>
      <c r="C273" s="61">
        <f t="shared" si="10"/>
        <v>59400</v>
      </c>
      <c r="D273" s="75"/>
      <c r="E273" s="20"/>
      <c r="G273" s="38"/>
      <c r="H273" s="20"/>
      <c r="I273" s="2"/>
      <c r="J273" s="15"/>
      <c r="K273" s="15"/>
      <c r="M273" s="15"/>
      <c r="N273" s="15"/>
    </row>
    <row r="274">
      <c r="A274" s="47" t="s">
        <v>275</v>
      </c>
      <c r="B274" s="17">
        <v>54000.0</v>
      </c>
      <c r="C274" s="61">
        <f t="shared" si="10"/>
        <v>59400</v>
      </c>
      <c r="D274" s="75"/>
      <c r="E274" s="76"/>
      <c r="F274" s="6"/>
      <c r="G274" s="24"/>
      <c r="H274" s="15"/>
      <c r="I274" s="2"/>
      <c r="J274" s="15"/>
      <c r="K274" s="15"/>
      <c r="M274" s="2"/>
      <c r="N274" s="2"/>
    </row>
    <row r="275">
      <c r="A275" s="15" t="s">
        <v>276</v>
      </c>
      <c r="B275" s="17">
        <v>48000.0</v>
      </c>
      <c r="C275" s="61">
        <f t="shared" si="10"/>
        <v>52800</v>
      </c>
      <c r="D275" s="75"/>
      <c r="E275" s="15"/>
      <c r="F275" s="6"/>
      <c r="G275" s="24"/>
      <c r="I275" s="2"/>
      <c r="J275" s="15"/>
      <c r="K275" s="15"/>
      <c r="M275" s="15"/>
      <c r="N275" s="15"/>
    </row>
    <row r="276">
      <c r="A276" s="47" t="s">
        <v>277</v>
      </c>
      <c r="B276" s="17">
        <v>97800.0</v>
      </c>
      <c r="C276" s="61">
        <f t="shared" si="10"/>
        <v>107580</v>
      </c>
      <c r="D276" s="75"/>
      <c r="E276" s="15"/>
      <c r="F276" s="6"/>
      <c r="G276" s="24"/>
      <c r="H276" s="15"/>
      <c r="I276" s="2"/>
      <c r="J276" s="24"/>
      <c r="K276" s="15"/>
      <c r="M276" s="15"/>
      <c r="N276" s="15"/>
    </row>
    <row r="277">
      <c r="A277" s="47" t="s">
        <v>278</v>
      </c>
      <c r="B277" s="17">
        <v>74800.0</v>
      </c>
      <c r="C277" s="61">
        <f t="shared" si="10"/>
        <v>82280</v>
      </c>
      <c r="D277" s="75"/>
      <c r="E277" s="15"/>
      <c r="F277" s="6"/>
      <c r="G277" s="24"/>
      <c r="H277" s="15"/>
      <c r="I277" s="2"/>
      <c r="J277" s="15"/>
      <c r="K277" s="15"/>
      <c r="M277" s="15"/>
      <c r="N277" s="15"/>
    </row>
    <row r="278">
      <c r="A278" s="47" t="s">
        <v>279</v>
      </c>
      <c r="B278" s="17">
        <v>75900.0</v>
      </c>
      <c r="C278" s="61">
        <f t="shared" si="10"/>
        <v>83490</v>
      </c>
      <c r="D278" s="73"/>
      <c r="E278" s="15"/>
      <c r="F278" s="6"/>
      <c r="G278" s="24"/>
      <c r="H278" s="15"/>
      <c r="I278" s="2"/>
      <c r="J278" s="24"/>
      <c r="K278" s="15"/>
      <c r="M278" s="15"/>
      <c r="N278" s="15"/>
    </row>
    <row r="279">
      <c r="A279" s="47" t="s">
        <v>280</v>
      </c>
      <c r="B279" s="17">
        <v>97800.0</v>
      </c>
      <c r="C279" s="61">
        <f t="shared" si="10"/>
        <v>107580</v>
      </c>
      <c r="D279" s="73"/>
      <c r="E279" s="76"/>
      <c r="F279" s="6"/>
      <c r="H279" s="15"/>
      <c r="I279" s="2"/>
      <c r="J279" s="24"/>
      <c r="K279" s="15"/>
      <c r="M279" s="15"/>
      <c r="N279" s="15"/>
    </row>
    <row r="280">
      <c r="A280" s="47" t="s">
        <v>281</v>
      </c>
      <c r="B280" s="17">
        <v>103500.0</v>
      </c>
      <c r="C280" s="61">
        <f t="shared" si="10"/>
        <v>113850</v>
      </c>
      <c r="D280" s="73"/>
      <c r="E280" s="76"/>
      <c r="F280" s="6"/>
      <c r="G280" s="20"/>
      <c r="H280" s="15"/>
      <c r="I280" s="2"/>
      <c r="J280" s="15"/>
      <c r="K280" s="15"/>
      <c r="M280" s="15"/>
      <c r="N280" s="15"/>
    </row>
    <row r="281">
      <c r="A281" s="47" t="s">
        <v>282</v>
      </c>
      <c r="B281" s="17">
        <v>69000.0</v>
      </c>
      <c r="C281" s="61">
        <f t="shared" si="10"/>
        <v>75900</v>
      </c>
      <c r="D281" s="73"/>
      <c r="E281" s="76"/>
      <c r="F281" s="6"/>
      <c r="G281" s="20"/>
      <c r="H281" s="15"/>
      <c r="I281" s="2"/>
      <c r="J281" s="24"/>
      <c r="K281" s="15"/>
      <c r="M281" s="15"/>
      <c r="N281" s="15"/>
    </row>
    <row r="282">
      <c r="A282" s="15" t="s">
        <v>283</v>
      </c>
      <c r="B282" s="17">
        <v>69000.0</v>
      </c>
      <c r="C282" s="61">
        <f t="shared" si="10"/>
        <v>75900</v>
      </c>
      <c r="D282" s="73"/>
      <c r="E282" s="76"/>
      <c r="F282" s="6"/>
      <c r="G282" s="20"/>
      <c r="H282" s="15"/>
      <c r="I282" s="2"/>
      <c r="J282" s="24"/>
      <c r="K282" s="15"/>
      <c r="M282" s="24"/>
      <c r="N282" s="15"/>
    </row>
    <row r="283">
      <c r="A283" s="47" t="s">
        <v>284</v>
      </c>
      <c r="B283" s="17">
        <v>161000.0</v>
      </c>
      <c r="C283" s="61">
        <f t="shared" si="10"/>
        <v>177100</v>
      </c>
      <c r="D283" s="73"/>
      <c r="E283" s="76"/>
      <c r="F283" s="6"/>
      <c r="G283" s="20"/>
      <c r="H283" s="15"/>
      <c r="I283" s="2"/>
      <c r="J283" s="24"/>
      <c r="K283" s="15"/>
      <c r="M283" s="15"/>
      <c r="N283" s="15"/>
    </row>
    <row r="284">
      <c r="A284" s="47" t="s">
        <v>285</v>
      </c>
      <c r="B284" s="17">
        <v>80500.0</v>
      </c>
      <c r="C284" s="61">
        <f t="shared" si="10"/>
        <v>88550</v>
      </c>
      <c r="D284" s="73"/>
      <c r="E284" s="77"/>
      <c r="F284" s="6"/>
      <c r="G284" s="15"/>
      <c r="H284" s="15"/>
      <c r="I284" s="2"/>
      <c r="J284" s="24"/>
      <c r="K284" s="15"/>
      <c r="M284" s="15"/>
      <c r="N284" s="15"/>
    </row>
    <row r="285">
      <c r="A285" s="47" t="s">
        <v>286</v>
      </c>
      <c r="B285" s="17">
        <v>69500.0</v>
      </c>
      <c r="C285" s="61">
        <f t="shared" si="10"/>
        <v>76450</v>
      </c>
      <c r="D285" s="73"/>
      <c r="E285" s="77"/>
      <c r="F285" s="6"/>
      <c r="G285" s="15"/>
      <c r="H285" s="15"/>
      <c r="I285" s="2"/>
      <c r="J285" s="24"/>
      <c r="K285" s="15"/>
      <c r="M285" s="15"/>
      <c r="N285" s="15"/>
    </row>
    <row r="286">
      <c r="A286" s="24" t="s">
        <v>287</v>
      </c>
      <c r="B286" s="17">
        <v>74000.0</v>
      </c>
      <c r="C286" s="61">
        <f t="shared" si="10"/>
        <v>81400</v>
      </c>
      <c r="D286" s="73"/>
      <c r="E286" s="76"/>
      <c r="F286" s="6"/>
      <c r="G286" s="15"/>
      <c r="H286" s="15"/>
      <c r="I286" s="2"/>
      <c r="J286" s="24"/>
      <c r="K286" s="15"/>
      <c r="M286" s="24"/>
      <c r="N286" s="15"/>
    </row>
    <row r="287">
      <c r="A287" s="15" t="s">
        <v>288</v>
      </c>
      <c r="B287" s="17">
        <v>97800.0</v>
      </c>
      <c r="C287" s="61">
        <f t="shared" si="10"/>
        <v>107580</v>
      </c>
      <c r="D287" s="73"/>
      <c r="E287" s="76"/>
      <c r="F287" s="6"/>
      <c r="H287" s="15"/>
      <c r="I287" s="2"/>
      <c r="J287" s="24"/>
      <c r="K287" s="15"/>
      <c r="M287" s="15"/>
      <c r="N287" s="15"/>
    </row>
    <row r="288">
      <c r="A288" s="47" t="s">
        <v>289</v>
      </c>
      <c r="B288" s="17">
        <v>189700.0</v>
      </c>
      <c r="C288" s="61">
        <f t="shared" si="10"/>
        <v>208670</v>
      </c>
      <c r="D288" s="73"/>
      <c r="E288" s="76"/>
      <c r="F288" s="6"/>
      <c r="G288" s="15"/>
      <c r="H288" s="15"/>
      <c r="I288" s="2"/>
      <c r="J288" s="24"/>
      <c r="K288" s="15"/>
      <c r="M288" s="24"/>
      <c r="N288" s="15"/>
    </row>
    <row r="289">
      <c r="A289" s="47" t="s">
        <v>290</v>
      </c>
      <c r="B289" s="17">
        <v>161000.0</v>
      </c>
      <c r="C289" s="61">
        <f t="shared" si="10"/>
        <v>177100</v>
      </c>
      <c r="D289" s="73"/>
      <c r="E289" s="76"/>
      <c r="F289" s="6"/>
      <c r="G289" s="24"/>
      <c r="H289" s="15"/>
      <c r="I289" s="2"/>
      <c r="J289" s="24"/>
      <c r="K289" s="15"/>
      <c r="M289" s="15"/>
      <c r="N289" s="15"/>
    </row>
    <row r="290">
      <c r="A290" s="15" t="s">
        <v>291</v>
      </c>
      <c r="B290" s="17">
        <v>88500.0</v>
      </c>
      <c r="C290" s="61">
        <f t="shared" si="10"/>
        <v>97350</v>
      </c>
      <c r="D290" s="73"/>
      <c r="E290" s="15"/>
      <c r="F290" s="6"/>
      <c r="G290" s="24"/>
      <c r="H290" s="15"/>
      <c r="I290" s="2"/>
      <c r="J290" s="24"/>
      <c r="K290" s="15"/>
      <c r="M290" s="15"/>
      <c r="N290" s="15"/>
    </row>
    <row r="291">
      <c r="A291" s="47" t="s">
        <v>292</v>
      </c>
      <c r="B291" s="17">
        <v>88500.0</v>
      </c>
      <c r="C291" s="61">
        <f t="shared" si="10"/>
        <v>97350</v>
      </c>
      <c r="D291" s="73"/>
      <c r="E291" s="15"/>
      <c r="F291" s="6"/>
      <c r="G291" s="24"/>
      <c r="H291" s="15"/>
      <c r="I291" s="2"/>
      <c r="J291" s="24"/>
      <c r="K291" s="15"/>
      <c r="M291" s="15"/>
      <c r="N291" s="15"/>
    </row>
    <row r="292">
      <c r="C292" s="61">
        <f t="shared" si="10"/>
        <v>0</v>
      </c>
      <c r="D292" s="74"/>
      <c r="E292" s="15"/>
      <c r="F292" s="6"/>
      <c r="G292" s="24"/>
      <c r="H292" s="15"/>
      <c r="I292" s="2"/>
      <c r="J292" s="24"/>
      <c r="K292" s="15"/>
      <c r="M292" s="24"/>
      <c r="N292" s="15"/>
    </row>
    <row r="293">
      <c r="A293" s="15" t="s">
        <v>293</v>
      </c>
      <c r="B293" s="17">
        <v>64200.0</v>
      </c>
      <c r="C293" s="61">
        <f t="shared" si="10"/>
        <v>70620</v>
      </c>
      <c r="D293" s="75"/>
      <c r="E293" s="15"/>
      <c r="F293" s="6"/>
      <c r="G293" s="24"/>
      <c r="H293" s="15"/>
      <c r="I293" s="2"/>
      <c r="J293" s="22"/>
      <c r="K293" s="15"/>
      <c r="M293" s="15"/>
      <c r="N293" s="15"/>
    </row>
    <row r="294">
      <c r="A294" s="15" t="s">
        <v>294</v>
      </c>
      <c r="B294" s="17">
        <v>288000.0</v>
      </c>
      <c r="C294" s="61">
        <f t="shared" si="10"/>
        <v>316800</v>
      </c>
      <c r="D294" s="75"/>
      <c r="E294" s="15"/>
      <c r="F294" s="6"/>
      <c r="G294" s="24"/>
      <c r="H294" s="15"/>
      <c r="I294" s="2"/>
      <c r="J294" s="24"/>
      <c r="K294" s="15"/>
      <c r="M294" s="15"/>
      <c r="N294" s="15"/>
    </row>
    <row r="295">
      <c r="A295" s="15" t="s">
        <v>295</v>
      </c>
      <c r="B295" s="17">
        <v>203500.0</v>
      </c>
      <c r="C295" s="61">
        <f t="shared" si="10"/>
        <v>223850</v>
      </c>
      <c r="D295" s="75"/>
      <c r="E295" s="15"/>
      <c r="F295" s="6"/>
      <c r="G295" s="24"/>
      <c r="H295" s="15"/>
      <c r="I295" s="2"/>
      <c r="J295" s="22"/>
      <c r="K295" s="15"/>
      <c r="M295" s="15"/>
      <c r="N295" s="15"/>
    </row>
    <row r="296">
      <c r="A296" s="47" t="s">
        <v>296</v>
      </c>
      <c r="B296" s="17">
        <v>188600.0</v>
      </c>
      <c r="C296" s="61">
        <f t="shared" si="10"/>
        <v>207460</v>
      </c>
      <c r="D296" s="75"/>
      <c r="E296" s="76"/>
      <c r="F296" s="6"/>
      <c r="H296" s="15"/>
      <c r="I296" s="2"/>
      <c r="M296" s="15"/>
      <c r="N296" s="15"/>
    </row>
    <row r="297">
      <c r="A297" s="47" t="s">
        <v>297</v>
      </c>
      <c r="B297" s="37">
        <v>164000.0</v>
      </c>
      <c r="C297" s="62">
        <f t="shared" si="10"/>
        <v>180400</v>
      </c>
      <c r="D297" s="73"/>
      <c r="E297" s="76"/>
      <c r="F297" s="6"/>
      <c r="G297" s="20"/>
      <c r="I297" s="2"/>
      <c r="M297" s="15"/>
      <c r="N297" s="15"/>
    </row>
    <row r="298">
      <c r="A298" s="47" t="s">
        <v>298</v>
      </c>
      <c r="B298" s="37">
        <v>207000.0</v>
      </c>
      <c r="C298" s="62">
        <f t="shared" si="10"/>
        <v>227700</v>
      </c>
      <c r="D298" s="73"/>
      <c r="E298" s="76"/>
      <c r="F298" s="6"/>
      <c r="G298" s="20"/>
      <c r="H298" s="20"/>
      <c r="I298" s="2"/>
      <c r="J298" s="24"/>
      <c r="K298" s="15"/>
      <c r="M298" s="15"/>
      <c r="N298" s="15"/>
    </row>
    <row r="299">
      <c r="A299" s="47" t="s">
        <v>299</v>
      </c>
      <c r="B299" s="17">
        <v>295000.0</v>
      </c>
      <c r="C299" s="61">
        <f t="shared" si="10"/>
        <v>324500</v>
      </c>
      <c r="D299" s="73"/>
      <c r="E299" s="76"/>
      <c r="F299" s="6"/>
      <c r="G299" s="20"/>
      <c r="H299" s="20"/>
      <c r="I299" s="2"/>
      <c r="J299" s="24"/>
      <c r="K299" s="15"/>
      <c r="M299" s="15"/>
      <c r="N299" s="15"/>
    </row>
    <row r="300">
      <c r="A300" s="47" t="s">
        <v>300</v>
      </c>
      <c r="B300" s="17">
        <v>300000.0</v>
      </c>
      <c r="C300" s="61">
        <f t="shared" si="10"/>
        <v>330000</v>
      </c>
      <c r="D300" s="73"/>
      <c r="E300" s="76"/>
      <c r="F300" s="6"/>
      <c r="G300" s="20"/>
      <c r="H300" s="20"/>
      <c r="I300" s="2"/>
      <c r="J300" s="24"/>
      <c r="K300" s="15"/>
      <c r="M300" s="15"/>
      <c r="N300" s="15"/>
    </row>
    <row r="301">
      <c r="A301" s="47" t="s">
        <v>301</v>
      </c>
      <c r="B301" s="17">
        <v>300000.0</v>
      </c>
      <c r="C301" s="61">
        <f t="shared" si="10"/>
        <v>330000</v>
      </c>
      <c r="D301" s="73"/>
      <c r="E301" s="77"/>
      <c r="F301" s="6"/>
      <c r="G301" s="15"/>
      <c r="H301" s="20"/>
      <c r="I301" s="2"/>
      <c r="J301" s="24"/>
      <c r="K301" s="15"/>
      <c r="M301" s="15"/>
      <c r="N301" s="15"/>
    </row>
    <row r="302">
      <c r="A302" s="15" t="s">
        <v>302</v>
      </c>
      <c r="B302" s="17">
        <v>49900.0</v>
      </c>
      <c r="C302" s="61">
        <f t="shared" si="10"/>
        <v>54890</v>
      </c>
      <c r="D302" s="73"/>
      <c r="E302" s="76"/>
      <c r="F302" s="6"/>
      <c r="G302" s="15"/>
      <c r="H302" s="20"/>
      <c r="I302" s="2"/>
      <c r="J302" s="15"/>
      <c r="K302" s="15"/>
      <c r="M302" s="15"/>
      <c r="N302" s="15"/>
    </row>
    <row r="303">
      <c r="A303" s="28" t="s">
        <v>303</v>
      </c>
      <c r="B303" s="17">
        <v>59500.0</v>
      </c>
      <c r="C303" s="61">
        <f t="shared" si="10"/>
        <v>65450</v>
      </c>
      <c r="D303" s="73"/>
      <c r="E303" s="76"/>
      <c r="F303" s="6"/>
      <c r="H303" s="20"/>
      <c r="I303" s="2"/>
      <c r="J303" s="15"/>
      <c r="K303" s="15"/>
      <c r="M303" s="15"/>
      <c r="N303" s="15"/>
    </row>
    <row r="304">
      <c r="A304" s="28" t="s">
        <v>304</v>
      </c>
      <c r="B304" s="17">
        <v>138400.0</v>
      </c>
      <c r="C304" s="61">
        <f t="shared" si="10"/>
        <v>152240</v>
      </c>
      <c r="D304" s="73"/>
      <c r="E304" s="76"/>
      <c r="F304" s="6"/>
      <c r="G304" s="20"/>
      <c r="H304" s="20"/>
      <c r="I304" s="2"/>
      <c r="J304" s="15"/>
      <c r="K304" s="15"/>
      <c r="M304" s="15"/>
      <c r="N304" s="15"/>
    </row>
    <row r="305">
      <c r="A305" s="28" t="s">
        <v>305</v>
      </c>
      <c r="B305" s="17">
        <v>138400.0</v>
      </c>
      <c r="C305" s="61">
        <f t="shared" si="10"/>
        <v>152240</v>
      </c>
      <c r="D305" s="73"/>
      <c r="E305" s="77"/>
      <c r="F305" s="6"/>
      <c r="G305" s="15"/>
      <c r="H305" s="20"/>
      <c r="I305" s="2"/>
      <c r="J305" s="15"/>
      <c r="K305" s="15"/>
      <c r="M305" s="15"/>
      <c r="N305" s="15"/>
    </row>
    <row r="306">
      <c r="A306" s="28" t="s">
        <v>306</v>
      </c>
      <c r="B306" s="17">
        <v>65500.0</v>
      </c>
      <c r="C306" s="61">
        <f t="shared" si="10"/>
        <v>72050</v>
      </c>
      <c r="D306" s="73"/>
      <c r="E306" s="76"/>
      <c r="F306" s="6"/>
      <c r="G306" s="15"/>
      <c r="H306" s="20"/>
      <c r="I306" s="2"/>
      <c r="J306" s="15"/>
      <c r="K306" s="15"/>
      <c r="M306" s="15"/>
      <c r="N306" s="15"/>
    </row>
    <row r="307">
      <c r="A307" s="15" t="s">
        <v>307</v>
      </c>
      <c r="B307" s="17">
        <v>44000.0</v>
      </c>
      <c r="C307" s="61">
        <f t="shared" si="10"/>
        <v>48400</v>
      </c>
      <c r="D307" s="73"/>
      <c r="E307" s="76"/>
      <c r="F307" s="6"/>
      <c r="H307" s="20"/>
      <c r="I307" s="2"/>
      <c r="J307" s="15"/>
      <c r="K307" s="15"/>
      <c r="M307" s="15"/>
      <c r="N307" s="15"/>
    </row>
    <row r="308">
      <c r="A308" s="15" t="s">
        <v>308</v>
      </c>
      <c r="B308" s="17">
        <v>45000.0</v>
      </c>
      <c r="C308" s="61">
        <f t="shared" si="10"/>
        <v>49500</v>
      </c>
      <c r="D308" s="73"/>
      <c r="E308" s="76"/>
      <c r="F308" s="6"/>
      <c r="G308" s="15"/>
      <c r="H308" s="15"/>
      <c r="I308" s="2"/>
      <c r="J308" s="24"/>
      <c r="K308" s="15"/>
      <c r="M308" s="15"/>
      <c r="N308" s="15"/>
    </row>
    <row r="309">
      <c r="A309" s="15" t="s">
        <v>309</v>
      </c>
      <c r="B309" s="4"/>
      <c r="C309" s="61">
        <f t="shared" si="10"/>
        <v>0</v>
      </c>
      <c r="D309" s="75"/>
      <c r="E309" s="76"/>
      <c r="F309" s="6"/>
      <c r="G309" s="24"/>
      <c r="H309" s="15"/>
      <c r="I309" s="2"/>
      <c r="J309" s="15"/>
      <c r="K309" s="15"/>
      <c r="M309" s="15"/>
      <c r="N309" s="15"/>
    </row>
    <row r="310">
      <c r="A310" s="15" t="s">
        <v>310</v>
      </c>
      <c r="B310" s="17">
        <v>110200.0</v>
      </c>
      <c r="C310" s="61">
        <f t="shared" si="10"/>
        <v>121220</v>
      </c>
      <c r="D310" s="75"/>
      <c r="E310" s="15"/>
      <c r="F310" s="6"/>
      <c r="G310" s="24"/>
      <c r="H310" s="20"/>
      <c r="I310" s="2"/>
      <c r="J310" s="20"/>
      <c r="K310" s="15"/>
      <c r="M310" s="15"/>
      <c r="N310" s="15"/>
    </row>
    <row r="311">
      <c r="A311" s="47" t="s">
        <v>311</v>
      </c>
      <c r="B311" s="17">
        <v>36600.0</v>
      </c>
      <c r="C311" s="61">
        <f t="shared" si="10"/>
        <v>40260</v>
      </c>
      <c r="D311" s="75"/>
      <c r="E311" s="76"/>
      <c r="F311" s="6"/>
      <c r="G311" s="20"/>
      <c r="H311" s="15"/>
      <c r="I311" s="2"/>
      <c r="J311" s="24"/>
      <c r="K311" s="15"/>
      <c r="M311" s="15"/>
      <c r="N311" s="15"/>
    </row>
    <row r="312">
      <c r="A312" s="28" t="s">
        <v>312</v>
      </c>
      <c r="B312" s="17">
        <v>49000.0</v>
      </c>
      <c r="C312" s="61">
        <f t="shared" si="10"/>
        <v>53900</v>
      </c>
      <c r="D312" s="75"/>
      <c r="E312" s="77"/>
      <c r="F312" s="6"/>
      <c r="G312" s="15"/>
      <c r="H312" s="15"/>
      <c r="I312" s="2"/>
      <c r="J312" s="15"/>
      <c r="K312" s="15"/>
      <c r="M312" s="2"/>
      <c r="N312" s="2"/>
    </row>
    <row r="313">
      <c r="A313" s="28" t="s">
        <v>313</v>
      </c>
      <c r="B313" s="17">
        <v>63300.0</v>
      </c>
      <c r="C313" s="61">
        <f t="shared" si="10"/>
        <v>69630</v>
      </c>
      <c r="D313" s="75"/>
      <c r="E313" s="76"/>
      <c r="F313" s="6"/>
      <c r="G313" s="15"/>
      <c r="H313" s="15"/>
      <c r="I313" s="2"/>
      <c r="J313" s="15"/>
      <c r="K313" s="15"/>
      <c r="M313" s="15"/>
      <c r="N313" s="15"/>
    </row>
    <row r="314">
      <c r="A314" s="28" t="s">
        <v>314</v>
      </c>
      <c r="B314" s="17">
        <v>50600.0</v>
      </c>
      <c r="C314" s="61">
        <f t="shared" si="10"/>
        <v>55660</v>
      </c>
      <c r="D314" s="75"/>
      <c r="E314" s="76"/>
      <c r="F314" s="6"/>
      <c r="H314" s="20"/>
      <c r="I314" s="2"/>
      <c r="J314" s="15"/>
      <c r="K314" s="15"/>
      <c r="M314" s="15"/>
      <c r="N314" s="15"/>
    </row>
    <row r="315">
      <c r="A315" s="47" t="s">
        <v>315</v>
      </c>
      <c r="B315" s="17">
        <v>78600.0</v>
      </c>
      <c r="C315" s="61">
        <f t="shared" si="10"/>
        <v>86460</v>
      </c>
      <c r="D315" s="78"/>
      <c r="E315" s="76"/>
      <c r="F315" s="6"/>
      <c r="G315" s="15"/>
      <c r="H315" s="20"/>
      <c r="I315" s="2"/>
      <c r="J315" s="15"/>
      <c r="K315" s="15"/>
      <c r="M315" s="15"/>
      <c r="N315" s="15"/>
    </row>
    <row r="316">
      <c r="A316" s="28" t="s">
        <v>316</v>
      </c>
      <c r="B316" s="17">
        <v>78600.0</v>
      </c>
      <c r="C316" s="61">
        <f t="shared" si="10"/>
        <v>86460</v>
      </c>
      <c r="D316" s="78"/>
      <c r="E316" s="76"/>
      <c r="F316" s="6"/>
      <c r="G316" s="24"/>
      <c r="H316" s="20"/>
      <c r="I316" s="2"/>
      <c r="J316" s="15"/>
      <c r="K316" s="15"/>
      <c r="M316" s="15"/>
      <c r="N316" s="15"/>
    </row>
    <row r="317">
      <c r="A317" s="28" t="s">
        <v>317</v>
      </c>
      <c r="B317" s="17">
        <v>82300.0</v>
      </c>
      <c r="C317" s="61">
        <f t="shared" si="10"/>
        <v>90530</v>
      </c>
      <c r="D317" s="78"/>
      <c r="E317" s="49"/>
      <c r="F317" s="63"/>
      <c r="G317" s="24"/>
      <c r="H317" s="20"/>
      <c r="I317" s="2"/>
      <c r="J317" s="15"/>
      <c r="K317" s="15"/>
      <c r="M317" s="15"/>
      <c r="N317" s="15"/>
    </row>
    <row r="318">
      <c r="A318" s="28" t="s">
        <v>318</v>
      </c>
      <c r="B318" s="17">
        <v>101800.0</v>
      </c>
      <c r="C318" s="61">
        <f t="shared" si="10"/>
        <v>111980</v>
      </c>
      <c r="D318" s="72"/>
      <c r="E318" s="49"/>
      <c r="F318" s="63"/>
      <c r="G318" s="24"/>
      <c r="H318" s="20"/>
      <c r="I318" s="2"/>
      <c r="J318" s="15"/>
      <c r="K318" s="15"/>
      <c r="M318" s="15"/>
      <c r="N318" s="15"/>
    </row>
    <row r="319">
      <c r="D319" s="10"/>
      <c r="E319" s="49"/>
      <c r="F319" s="63"/>
      <c r="G319" s="24"/>
      <c r="H319" s="20"/>
      <c r="I319" s="2"/>
      <c r="J319" s="15"/>
      <c r="K319" s="15"/>
      <c r="M319" s="15"/>
      <c r="N319" s="15"/>
    </row>
    <row r="320">
      <c r="D320" s="10"/>
      <c r="E320" s="49"/>
      <c r="F320" s="63"/>
      <c r="G320" s="24"/>
      <c r="H320" s="20"/>
      <c r="I320" s="2"/>
      <c r="J320" s="15"/>
      <c r="K320" s="15"/>
      <c r="M320" s="15"/>
      <c r="N320" s="15"/>
    </row>
    <row r="321">
      <c r="D321" s="10"/>
      <c r="E321" s="49"/>
      <c r="F321" s="63"/>
      <c r="G321" s="24"/>
      <c r="H321" s="15"/>
      <c r="I321" s="2"/>
      <c r="J321" s="15"/>
      <c r="K321" s="15"/>
      <c r="M321" s="15"/>
      <c r="N321" s="15"/>
    </row>
    <row r="322">
      <c r="A322" s="14"/>
      <c r="B322" s="2"/>
      <c r="C322" s="9"/>
      <c r="D322" s="10"/>
      <c r="E322" s="49"/>
      <c r="F322" s="63"/>
      <c r="G322" s="24"/>
      <c r="I322" s="2"/>
      <c r="J322" s="79"/>
      <c r="K322" s="2"/>
      <c r="M322" s="15"/>
      <c r="N322" s="15"/>
    </row>
    <row r="323">
      <c r="A323" s="80" t="s">
        <v>319</v>
      </c>
      <c r="B323" s="17" t="s">
        <v>145</v>
      </c>
      <c r="C323" s="18" t="s">
        <v>6</v>
      </c>
      <c r="D323" s="4"/>
      <c r="E323" s="38"/>
      <c r="F323" s="39"/>
      <c r="G323" s="24"/>
      <c r="H323" s="68"/>
      <c r="I323" s="2"/>
      <c r="J323" s="4"/>
      <c r="K323" s="14"/>
      <c r="M323" s="4"/>
      <c r="N323" s="4"/>
    </row>
    <row r="324">
      <c r="A324" s="28" t="s">
        <v>320</v>
      </c>
      <c r="B324" s="17">
        <v>43700.0</v>
      </c>
      <c r="C324" s="61">
        <f t="shared" ref="C324:C344" si="11">(B324*1.1)</f>
        <v>48070</v>
      </c>
      <c r="D324" s="4"/>
      <c r="E324" s="38"/>
      <c r="F324" s="39"/>
      <c r="G324" s="24"/>
      <c r="H324" s="20"/>
      <c r="I324" s="2"/>
      <c r="J324" s="15"/>
      <c r="K324" s="15"/>
      <c r="M324" s="15"/>
      <c r="N324" s="15"/>
    </row>
    <row r="325">
      <c r="A325" s="28" t="s">
        <v>321</v>
      </c>
      <c r="B325" s="17">
        <v>53000.0</v>
      </c>
      <c r="C325" s="61">
        <f t="shared" si="11"/>
        <v>58300</v>
      </c>
      <c r="D325" s="4"/>
      <c r="E325" s="38"/>
      <c r="F325" s="39"/>
      <c r="G325" s="24"/>
      <c r="H325" s="15"/>
      <c r="I325" s="2"/>
      <c r="J325" s="15"/>
      <c r="K325" s="15"/>
      <c r="M325" s="15"/>
      <c r="N325" s="15"/>
    </row>
    <row r="326">
      <c r="A326" s="28" t="s">
        <v>322</v>
      </c>
      <c r="B326" s="17">
        <v>55900.0</v>
      </c>
      <c r="C326" s="61">
        <f t="shared" si="11"/>
        <v>61490</v>
      </c>
      <c r="D326" s="4"/>
      <c r="E326" s="38"/>
      <c r="F326" s="39"/>
      <c r="G326" s="24"/>
      <c r="H326" s="15"/>
      <c r="I326" s="2"/>
      <c r="J326" s="15"/>
      <c r="K326" s="15"/>
      <c r="M326" s="15"/>
      <c r="N326" s="15"/>
    </row>
    <row r="327">
      <c r="A327" s="20" t="s">
        <v>323</v>
      </c>
      <c r="B327" s="17"/>
      <c r="C327" s="61">
        <f t="shared" si="11"/>
        <v>0</v>
      </c>
      <c r="D327" s="4"/>
      <c r="E327" s="38"/>
      <c r="F327" s="39"/>
      <c r="G327" s="24"/>
      <c r="H327" s="15"/>
      <c r="I327" s="2"/>
      <c r="J327" s="15"/>
      <c r="K327" s="15"/>
      <c r="M327" s="15"/>
      <c r="N327" s="15"/>
    </row>
    <row r="328">
      <c r="A328" s="47" t="s">
        <v>324</v>
      </c>
      <c r="B328" s="17">
        <v>141900.0</v>
      </c>
      <c r="C328" s="61">
        <f t="shared" si="11"/>
        <v>156090</v>
      </c>
      <c r="D328" s="4"/>
      <c r="E328" s="38"/>
      <c r="F328" s="39"/>
      <c r="G328" s="24"/>
      <c r="H328" s="15"/>
      <c r="J328" s="15"/>
      <c r="K328" s="15"/>
      <c r="M328" s="15"/>
      <c r="N328" s="15"/>
    </row>
    <row r="329">
      <c r="A329" s="28" t="s">
        <v>325</v>
      </c>
      <c r="B329" s="17">
        <v>97900.0</v>
      </c>
      <c r="C329" s="61">
        <f t="shared" si="11"/>
        <v>107690</v>
      </c>
      <c r="D329" s="4"/>
      <c r="E329" s="38"/>
      <c r="F329" s="39"/>
      <c r="G329" s="24"/>
      <c r="H329" s="15"/>
      <c r="I329" s="2"/>
      <c r="J329" s="15"/>
      <c r="K329" s="15"/>
      <c r="M329" s="15"/>
      <c r="N329" s="15"/>
    </row>
    <row r="330">
      <c r="A330" s="28" t="s">
        <v>326</v>
      </c>
      <c r="B330" s="17">
        <v>53000.0</v>
      </c>
      <c r="C330" s="61">
        <f t="shared" si="11"/>
        <v>58300</v>
      </c>
      <c r="D330" s="4"/>
      <c r="E330" s="38"/>
      <c r="F330" s="39"/>
      <c r="G330" s="24"/>
      <c r="H330" s="15"/>
      <c r="I330" s="2"/>
      <c r="J330" s="15"/>
      <c r="K330" s="15"/>
      <c r="M330" s="15"/>
      <c r="N330" s="15"/>
    </row>
    <row r="331">
      <c r="A331" s="28" t="s">
        <v>327</v>
      </c>
      <c r="B331" s="17">
        <v>107600.0</v>
      </c>
      <c r="C331" s="61">
        <f t="shared" si="11"/>
        <v>118360</v>
      </c>
      <c r="D331" s="4"/>
      <c r="E331" s="76"/>
      <c r="F331" s="6"/>
      <c r="G331" s="15"/>
      <c r="H331" s="20"/>
      <c r="I331" s="2"/>
      <c r="J331" s="15"/>
      <c r="K331" s="15"/>
      <c r="M331" s="15"/>
      <c r="N331" s="15"/>
    </row>
    <row r="332">
      <c r="A332" s="20" t="s">
        <v>328</v>
      </c>
      <c r="B332" s="17">
        <v>164900.0</v>
      </c>
      <c r="C332" s="61">
        <f t="shared" si="11"/>
        <v>181390</v>
      </c>
      <c r="D332" s="4"/>
      <c r="E332" s="76"/>
      <c r="F332" s="6"/>
      <c r="H332" s="2"/>
      <c r="I332" s="2"/>
      <c r="J332" s="15"/>
      <c r="K332" s="15"/>
      <c r="M332" s="15"/>
      <c r="N332" s="15"/>
    </row>
    <row r="333">
      <c r="A333" s="15" t="s">
        <v>329</v>
      </c>
      <c r="B333" s="17">
        <v>105300.0</v>
      </c>
      <c r="C333" s="61">
        <f t="shared" si="11"/>
        <v>115830</v>
      </c>
      <c r="D333" s="4"/>
      <c r="E333" s="76"/>
      <c r="F333" s="6"/>
      <c r="G333" s="15"/>
      <c r="H333" s="2"/>
      <c r="I333" s="2"/>
      <c r="J333" s="15"/>
      <c r="K333" s="15"/>
      <c r="M333" s="15"/>
      <c r="N333" s="15"/>
    </row>
    <row r="334">
      <c r="A334" s="15" t="s">
        <v>330</v>
      </c>
      <c r="B334" s="81"/>
      <c r="C334" s="62">
        <f t="shared" si="11"/>
        <v>0</v>
      </c>
      <c r="D334" s="4"/>
      <c r="E334" s="76"/>
      <c r="F334" s="6"/>
      <c r="G334" s="24"/>
      <c r="H334" s="2"/>
      <c r="I334" s="2"/>
      <c r="J334" s="15"/>
      <c r="K334" s="15"/>
      <c r="M334" s="15"/>
      <c r="N334" s="2"/>
    </row>
    <row r="335">
      <c r="A335" s="15" t="s">
        <v>331</v>
      </c>
      <c r="B335" s="17">
        <v>165000.0</v>
      </c>
      <c r="C335" s="61">
        <f t="shared" si="11"/>
        <v>181500</v>
      </c>
      <c r="D335" s="4"/>
      <c r="E335" s="15"/>
      <c r="F335" s="6"/>
      <c r="G335" s="24"/>
      <c r="H335" s="2"/>
      <c r="I335" s="2"/>
      <c r="M335" s="15"/>
      <c r="N335" s="15"/>
    </row>
    <row r="336">
      <c r="A336" s="47" t="s">
        <v>332</v>
      </c>
      <c r="B336" s="37"/>
      <c r="C336" s="62">
        <f t="shared" si="11"/>
        <v>0</v>
      </c>
      <c r="D336" s="4"/>
      <c r="E336" s="76"/>
      <c r="F336" s="6"/>
      <c r="G336" s="20"/>
      <c r="H336" s="20"/>
      <c r="I336" s="2"/>
      <c r="J336" s="15"/>
      <c r="K336" s="15"/>
      <c r="M336" s="2"/>
      <c r="N336" s="2"/>
    </row>
    <row r="337">
      <c r="A337" s="47" t="s">
        <v>333</v>
      </c>
      <c r="B337" s="37"/>
      <c r="C337" s="62">
        <f t="shared" si="11"/>
        <v>0</v>
      </c>
      <c r="D337" s="4"/>
      <c r="E337" s="76"/>
      <c r="F337" s="6"/>
      <c r="G337" s="20"/>
      <c r="H337" s="20"/>
      <c r="I337" s="2"/>
      <c r="J337" s="24"/>
      <c r="K337" s="15"/>
      <c r="M337" s="82"/>
      <c r="N337" s="82"/>
    </row>
    <row r="338">
      <c r="A338" s="47" t="s">
        <v>334</v>
      </c>
      <c r="B338" s="17">
        <v>111300.0</v>
      </c>
      <c r="C338" s="61">
        <f t="shared" si="11"/>
        <v>122430</v>
      </c>
      <c r="D338" s="4"/>
      <c r="E338" s="76"/>
      <c r="F338" s="6"/>
      <c r="G338" s="20"/>
      <c r="H338" s="20"/>
      <c r="I338" s="2"/>
      <c r="J338" s="2"/>
      <c r="K338" s="2"/>
      <c r="M338" s="15"/>
      <c r="N338" s="15"/>
    </row>
    <row r="339">
      <c r="A339" s="47" t="s">
        <v>335</v>
      </c>
      <c r="B339" s="17">
        <v>192700.0</v>
      </c>
      <c r="C339" s="61">
        <f t="shared" si="11"/>
        <v>211970</v>
      </c>
      <c r="D339" s="4"/>
      <c r="E339" s="76"/>
      <c r="F339" s="6"/>
      <c r="G339" s="20"/>
      <c r="H339" s="20"/>
      <c r="I339" s="2"/>
      <c r="J339" s="2"/>
      <c r="K339" s="2"/>
      <c r="M339" s="15"/>
      <c r="N339" s="15"/>
    </row>
    <row r="340">
      <c r="A340" s="47" t="s">
        <v>336</v>
      </c>
      <c r="B340" s="17">
        <v>179500.0</v>
      </c>
      <c r="C340" s="61">
        <f t="shared" si="11"/>
        <v>197450</v>
      </c>
      <c r="D340" s="4"/>
      <c r="E340" s="77"/>
      <c r="F340" s="6"/>
      <c r="G340" s="15"/>
      <c r="H340" s="20"/>
      <c r="I340" s="2"/>
      <c r="J340" s="2"/>
      <c r="K340" s="2"/>
      <c r="M340" s="15"/>
      <c r="N340" s="15"/>
    </row>
    <row r="341">
      <c r="A341" s="47" t="s">
        <v>337</v>
      </c>
      <c r="B341" s="17">
        <v>241000.0</v>
      </c>
      <c r="C341" s="61">
        <f t="shared" si="11"/>
        <v>265100</v>
      </c>
      <c r="D341" s="4"/>
      <c r="E341" s="76"/>
      <c r="F341" s="6"/>
      <c r="G341" s="15"/>
      <c r="H341" s="20"/>
      <c r="I341" s="2"/>
      <c r="J341" s="2"/>
      <c r="K341" s="2"/>
      <c r="M341" s="15"/>
      <c r="N341" s="15"/>
    </row>
    <row r="342">
      <c r="A342" s="47" t="s">
        <v>338</v>
      </c>
      <c r="B342" s="17">
        <v>184000.0</v>
      </c>
      <c r="C342" s="61">
        <f t="shared" si="11"/>
        <v>202400</v>
      </c>
      <c r="D342" s="4"/>
      <c r="E342" s="76"/>
      <c r="F342" s="6"/>
      <c r="H342" s="20"/>
      <c r="I342" s="2"/>
      <c r="J342" s="2"/>
      <c r="K342" s="2"/>
      <c r="M342" s="15"/>
      <c r="N342" s="15"/>
    </row>
    <row r="343">
      <c r="A343" s="15" t="s">
        <v>339</v>
      </c>
      <c r="B343" s="17">
        <v>116600.0</v>
      </c>
      <c r="C343" s="61">
        <f t="shared" si="11"/>
        <v>128260</v>
      </c>
      <c r="D343" s="4"/>
      <c r="E343" s="76"/>
      <c r="F343" s="6"/>
      <c r="G343" s="20"/>
      <c r="H343" s="20"/>
      <c r="I343" s="2"/>
      <c r="J343" s="2"/>
      <c r="K343" s="2"/>
      <c r="M343" s="15"/>
      <c r="N343" s="15"/>
    </row>
    <row r="344">
      <c r="A344" s="15" t="s">
        <v>340</v>
      </c>
      <c r="B344" s="17">
        <v>116600.0</v>
      </c>
      <c r="C344" s="61">
        <f t="shared" si="11"/>
        <v>128260</v>
      </c>
      <c r="D344" s="4"/>
      <c r="E344" s="77"/>
      <c r="F344" s="6"/>
      <c r="G344" s="15"/>
      <c r="H344" s="20"/>
      <c r="I344" s="2"/>
      <c r="J344" s="24"/>
      <c r="K344" s="15"/>
      <c r="M344" s="2"/>
      <c r="N344" s="2"/>
    </row>
    <row r="345">
      <c r="A345" s="15" t="s">
        <v>341</v>
      </c>
      <c r="B345" s="37"/>
      <c r="C345" s="62"/>
      <c r="D345" s="4"/>
      <c r="E345" s="76"/>
      <c r="F345" s="6"/>
      <c r="G345" s="15"/>
      <c r="H345" s="20"/>
      <c r="I345" s="2"/>
      <c r="J345" s="15"/>
      <c r="K345" s="15"/>
      <c r="M345" s="24"/>
      <c r="N345" s="15"/>
    </row>
    <row r="346">
      <c r="A346" s="15" t="s">
        <v>342</v>
      </c>
      <c r="B346" s="17">
        <v>49500.0</v>
      </c>
      <c r="C346" s="61">
        <f t="shared" ref="C346:C398" si="12">(B346*1.1)</f>
        <v>54450</v>
      </c>
      <c r="D346" s="4"/>
      <c r="E346" s="76"/>
      <c r="F346" s="6"/>
      <c r="G346" s="15"/>
      <c r="H346" s="20"/>
      <c r="I346" s="2"/>
      <c r="J346" s="15"/>
      <c r="K346" s="15"/>
      <c r="M346" s="24"/>
      <c r="N346" s="15"/>
    </row>
    <row r="347">
      <c r="A347" s="28" t="s">
        <v>343</v>
      </c>
      <c r="B347" s="17">
        <v>34500.0</v>
      </c>
      <c r="C347" s="61">
        <f t="shared" si="12"/>
        <v>37950</v>
      </c>
      <c r="D347" s="4"/>
      <c r="E347" s="76"/>
      <c r="F347" s="6"/>
      <c r="G347" s="24"/>
      <c r="H347" s="20"/>
      <c r="I347" s="2"/>
      <c r="J347" s="15"/>
      <c r="K347" s="15"/>
      <c r="L347" s="2"/>
      <c r="M347" s="24"/>
      <c r="N347" s="15"/>
    </row>
    <row r="348">
      <c r="A348" s="47" t="s">
        <v>344</v>
      </c>
      <c r="B348" s="17">
        <v>34500.0</v>
      </c>
      <c r="C348" s="61">
        <f t="shared" si="12"/>
        <v>37950</v>
      </c>
      <c r="D348" s="4"/>
      <c r="E348" s="15"/>
      <c r="F348" s="6"/>
      <c r="G348" s="24"/>
      <c r="H348" s="20"/>
      <c r="I348" s="2"/>
      <c r="K348" s="15"/>
      <c r="L348" s="2"/>
      <c r="M348" s="15"/>
      <c r="N348" s="15"/>
    </row>
    <row r="349">
      <c r="A349" s="28" t="s">
        <v>345</v>
      </c>
      <c r="B349" s="17">
        <v>34500.0</v>
      </c>
      <c r="C349" s="61">
        <f t="shared" si="12"/>
        <v>37950</v>
      </c>
      <c r="D349" s="4"/>
      <c r="E349" s="76"/>
      <c r="F349" s="6"/>
      <c r="G349" s="20"/>
      <c r="H349" s="20"/>
      <c r="I349" s="2"/>
      <c r="J349" s="15"/>
      <c r="K349" s="15"/>
      <c r="L349" s="2"/>
      <c r="M349" s="15"/>
      <c r="N349" s="15"/>
    </row>
    <row r="350">
      <c r="A350" s="28" t="s">
        <v>346</v>
      </c>
      <c r="B350" s="17">
        <v>43900.0</v>
      </c>
      <c r="C350" s="61">
        <f t="shared" si="12"/>
        <v>48290</v>
      </c>
      <c r="D350" s="4"/>
      <c r="E350" s="76"/>
      <c r="F350" s="6"/>
      <c r="G350" s="20"/>
      <c r="H350" s="20"/>
      <c r="I350" s="2"/>
      <c r="J350" s="15"/>
      <c r="K350" s="15"/>
      <c r="L350" s="2"/>
      <c r="M350" s="15"/>
      <c r="N350" s="15"/>
    </row>
    <row r="351">
      <c r="A351" s="28" t="s">
        <v>347</v>
      </c>
      <c r="B351" s="17">
        <v>35400.0</v>
      </c>
      <c r="C351" s="61">
        <f t="shared" si="12"/>
        <v>38940</v>
      </c>
      <c r="D351" s="4"/>
      <c r="E351" s="76"/>
      <c r="F351" s="6"/>
      <c r="G351" s="20"/>
      <c r="H351" s="20"/>
      <c r="I351" s="2"/>
      <c r="J351" s="2"/>
      <c r="K351" s="15"/>
      <c r="M351" s="15"/>
      <c r="N351" s="15"/>
    </row>
    <row r="352">
      <c r="A352" s="28" t="s">
        <v>348</v>
      </c>
      <c r="B352" s="17">
        <v>43500.0</v>
      </c>
      <c r="C352" s="61">
        <f t="shared" si="12"/>
        <v>47850</v>
      </c>
      <c r="D352" s="4"/>
      <c r="E352" s="76"/>
      <c r="F352" s="6"/>
      <c r="G352" s="20"/>
      <c r="H352" s="20"/>
      <c r="I352" s="2"/>
      <c r="J352" s="15"/>
      <c r="K352" s="15"/>
      <c r="L352" s="2"/>
      <c r="M352" s="15"/>
      <c r="N352" s="15"/>
    </row>
    <row r="353">
      <c r="A353" s="47" t="s">
        <v>349</v>
      </c>
      <c r="B353" s="17">
        <v>35000.0</v>
      </c>
      <c r="C353" s="61">
        <f t="shared" si="12"/>
        <v>38500</v>
      </c>
      <c r="D353" s="4"/>
      <c r="E353" s="77"/>
      <c r="F353" s="6"/>
      <c r="G353" s="15"/>
      <c r="H353" s="15"/>
      <c r="I353" s="2"/>
      <c r="J353" s="15"/>
      <c r="K353" s="15"/>
      <c r="L353" s="2"/>
      <c r="M353" s="15"/>
      <c r="N353" s="15"/>
    </row>
    <row r="354">
      <c r="A354" s="28" t="s">
        <v>350</v>
      </c>
      <c r="B354" s="17">
        <v>35000.0</v>
      </c>
      <c r="C354" s="61">
        <f t="shared" si="12"/>
        <v>38500</v>
      </c>
      <c r="D354" s="83"/>
      <c r="E354" s="76"/>
      <c r="F354" s="6"/>
      <c r="G354" s="15"/>
      <c r="H354" s="15"/>
      <c r="I354" s="2"/>
      <c r="J354" s="15"/>
      <c r="K354" s="15"/>
      <c r="L354" s="2"/>
      <c r="M354" s="15"/>
      <c r="N354" s="15"/>
    </row>
    <row r="355">
      <c r="A355" s="28" t="s">
        <v>351</v>
      </c>
      <c r="B355" s="37"/>
      <c r="C355" s="62">
        <f t="shared" si="12"/>
        <v>0</v>
      </c>
      <c r="D355" s="83"/>
      <c r="E355" s="76"/>
      <c r="F355" s="6"/>
      <c r="H355" s="20"/>
      <c r="I355" s="2"/>
      <c r="J355" s="24"/>
      <c r="K355" s="15"/>
      <c r="L355" s="2"/>
      <c r="N355" s="2"/>
    </row>
    <row r="356">
      <c r="A356" s="47" t="s">
        <v>352</v>
      </c>
      <c r="B356" s="37"/>
      <c r="C356" s="62">
        <f t="shared" si="12"/>
        <v>0</v>
      </c>
      <c r="D356" s="83"/>
      <c r="E356" s="76"/>
      <c r="F356" s="6"/>
      <c r="G356" s="20"/>
      <c r="H356" s="20"/>
      <c r="I356" s="2"/>
      <c r="J356" s="24"/>
      <c r="K356" s="15"/>
      <c r="L356" s="2"/>
      <c r="N356" s="2"/>
    </row>
    <row r="357">
      <c r="A357" s="28" t="s">
        <v>353</v>
      </c>
      <c r="B357" s="17">
        <v>38200.0</v>
      </c>
      <c r="C357" s="61">
        <f t="shared" si="12"/>
        <v>42020</v>
      </c>
      <c r="D357" s="83"/>
      <c r="E357" s="77"/>
      <c r="F357" s="6"/>
      <c r="G357" s="15"/>
      <c r="H357" s="20"/>
      <c r="I357" s="2"/>
      <c r="J357" s="22"/>
      <c r="K357" s="15"/>
      <c r="L357" s="2"/>
      <c r="M357" s="15"/>
      <c r="N357" s="15"/>
    </row>
    <row r="358">
      <c r="A358" s="28" t="s">
        <v>354</v>
      </c>
      <c r="B358" s="17">
        <v>46000.0</v>
      </c>
      <c r="C358" s="61">
        <f t="shared" si="12"/>
        <v>50600</v>
      </c>
      <c r="D358" s="83"/>
      <c r="E358" s="76"/>
      <c r="F358" s="6"/>
      <c r="G358" s="15"/>
      <c r="H358" s="15"/>
      <c r="I358" s="2"/>
      <c r="J358" s="15"/>
      <c r="K358" s="15"/>
      <c r="L358" s="2"/>
      <c r="M358" s="15"/>
      <c r="N358" s="15"/>
    </row>
    <row r="359">
      <c r="A359" s="15" t="s">
        <v>355</v>
      </c>
      <c r="B359" s="37"/>
      <c r="C359" s="62">
        <f t="shared" si="12"/>
        <v>0</v>
      </c>
      <c r="D359" s="60"/>
      <c r="E359" s="76"/>
      <c r="F359" s="6"/>
      <c r="H359" s="20"/>
      <c r="I359" s="2"/>
      <c r="J359" s="15"/>
      <c r="K359" s="15"/>
      <c r="L359" s="2"/>
      <c r="N359" s="2"/>
    </row>
    <row r="360">
      <c r="A360" s="15" t="s">
        <v>356</v>
      </c>
      <c r="B360" s="17">
        <v>43500.0</v>
      </c>
      <c r="C360" s="61">
        <f t="shared" si="12"/>
        <v>47850</v>
      </c>
      <c r="D360" s="60"/>
      <c r="E360" s="76"/>
      <c r="F360" s="6"/>
      <c r="G360" s="15"/>
      <c r="H360" s="20"/>
      <c r="I360" s="2"/>
      <c r="J360" s="24"/>
      <c r="K360" s="15"/>
      <c r="L360" s="2"/>
      <c r="M360" s="15"/>
      <c r="N360" s="15"/>
    </row>
    <row r="361">
      <c r="A361" s="20" t="s">
        <v>357</v>
      </c>
      <c r="B361" s="17">
        <v>43500.0</v>
      </c>
      <c r="C361" s="61">
        <f t="shared" si="12"/>
        <v>47850</v>
      </c>
      <c r="D361" s="60"/>
      <c r="E361" s="76"/>
      <c r="F361" s="6"/>
      <c r="G361" s="24"/>
      <c r="H361" s="15"/>
      <c r="I361" s="2"/>
      <c r="J361" s="15"/>
      <c r="K361" s="15"/>
      <c r="L361" s="2"/>
      <c r="M361" s="15"/>
      <c r="N361" s="15"/>
    </row>
    <row r="362">
      <c r="A362" s="20" t="s">
        <v>358</v>
      </c>
      <c r="B362" s="17">
        <v>55200.0</v>
      </c>
      <c r="C362" s="61">
        <f t="shared" si="12"/>
        <v>60720</v>
      </c>
      <c r="D362" s="60"/>
      <c r="E362" s="76"/>
      <c r="F362" s="6"/>
      <c r="G362" s="20"/>
      <c r="H362" s="15"/>
      <c r="J362" s="15"/>
      <c r="K362" s="15"/>
      <c r="M362" s="15"/>
      <c r="N362" s="15"/>
    </row>
    <row r="363">
      <c r="A363" s="15" t="s">
        <v>359</v>
      </c>
      <c r="B363" s="17">
        <v>59300.0</v>
      </c>
      <c r="C363" s="61">
        <f t="shared" si="12"/>
        <v>65230</v>
      </c>
      <c r="D363" s="60"/>
      <c r="E363" s="76"/>
      <c r="F363" s="6"/>
      <c r="G363" s="20"/>
      <c r="H363" s="2"/>
      <c r="I363" s="2"/>
      <c r="J363" s="15"/>
      <c r="K363" s="15"/>
      <c r="M363" s="15"/>
      <c r="N363" s="15"/>
    </row>
    <row r="364">
      <c r="A364" s="28" t="s">
        <v>360</v>
      </c>
      <c r="B364" s="17">
        <v>59300.0</v>
      </c>
      <c r="C364" s="61">
        <f t="shared" si="12"/>
        <v>65230</v>
      </c>
      <c r="D364" s="60"/>
      <c r="E364" s="77"/>
      <c r="F364" s="6"/>
      <c r="G364" s="15"/>
      <c r="H364" s="2"/>
      <c r="I364" s="2"/>
      <c r="J364" s="24"/>
      <c r="K364" s="15"/>
      <c r="M364" s="15"/>
      <c r="N364" s="15"/>
    </row>
    <row r="365">
      <c r="A365" s="47" t="s">
        <v>361</v>
      </c>
      <c r="B365" s="17">
        <v>70200.0</v>
      </c>
      <c r="C365" s="61">
        <f t="shared" si="12"/>
        <v>77220</v>
      </c>
      <c r="D365" s="60"/>
      <c r="E365" s="76"/>
      <c r="F365" s="6"/>
      <c r="G365" s="15"/>
      <c r="H365" s="2"/>
      <c r="I365" s="2"/>
      <c r="J365" s="24"/>
      <c r="K365" s="15"/>
      <c r="M365" s="15"/>
      <c r="N365" s="15"/>
    </row>
    <row r="366">
      <c r="A366" s="47" t="s">
        <v>362</v>
      </c>
      <c r="B366" s="37">
        <v>55000.0</v>
      </c>
      <c r="C366" s="62">
        <f t="shared" si="12"/>
        <v>60500</v>
      </c>
      <c r="D366" s="60"/>
      <c r="E366" s="76"/>
      <c r="F366" s="6"/>
      <c r="H366" s="2"/>
      <c r="I366" s="2"/>
      <c r="J366" s="15"/>
      <c r="K366" s="15"/>
      <c r="M366" s="15"/>
      <c r="N366" s="15"/>
    </row>
    <row r="367">
      <c r="A367" s="47" t="s">
        <v>363</v>
      </c>
      <c r="B367" s="17">
        <v>49500.0</v>
      </c>
      <c r="C367" s="61">
        <f t="shared" si="12"/>
        <v>54450</v>
      </c>
      <c r="D367" s="60"/>
      <c r="E367" s="76"/>
      <c r="F367" s="6"/>
      <c r="G367" s="20"/>
      <c r="H367" s="15"/>
      <c r="I367" s="2"/>
      <c r="J367" s="15"/>
      <c r="K367" s="15"/>
      <c r="M367" s="15"/>
      <c r="N367" s="15"/>
    </row>
    <row r="368">
      <c r="A368" s="47" t="s">
        <v>364</v>
      </c>
      <c r="B368" s="37"/>
      <c r="C368" s="62">
        <f t="shared" si="12"/>
        <v>0</v>
      </c>
      <c r="D368" s="60"/>
      <c r="E368" s="77"/>
      <c r="F368" s="6"/>
      <c r="G368" s="15"/>
      <c r="H368" s="15"/>
      <c r="I368" s="2"/>
      <c r="J368" s="15"/>
      <c r="K368" s="15"/>
      <c r="M368" s="15"/>
      <c r="N368" s="15"/>
    </row>
    <row r="369">
      <c r="A369" s="47" t="s">
        <v>365</v>
      </c>
      <c r="B369" s="17">
        <v>79300.0</v>
      </c>
      <c r="C369" s="61">
        <f t="shared" si="12"/>
        <v>87230</v>
      </c>
      <c r="D369" s="60"/>
      <c r="E369" s="76"/>
      <c r="F369" s="6"/>
      <c r="G369" s="15"/>
      <c r="H369" s="2"/>
      <c r="I369" s="2"/>
      <c r="J369" s="15"/>
      <c r="K369" s="15"/>
      <c r="M369" s="15"/>
      <c r="N369" s="15"/>
    </row>
    <row r="370">
      <c r="A370" s="47" t="s">
        <v>366</v>
      </c>
      <c r="B370" s="17">
        <v>89700.0</v>
      </c>
      <c r="C370" s="61">
        <f t="shared" si="12"/>
        <v>98670</v>
      </c>
      <c r="D370" s="60"/>
      <c r="E370" s="76"/>
      <c r="F370" s="6"/>
      <c r="H370" s="2"/>
      <c r="I370" s="2"/>
      <c r="J370" s="15"/>
      <c r="K370" s="15"/>
      <c r="M370" s="15"/>
      <c r="N370" s="15"/>
    </row>
    <row r="371">
      <c r="A371" s="28" t="s">
        <v>367</v>
      </c>
      <c r="B371" s="17">
        <v>38600.0</v>
      </c>
      <c r="C371" s="61">
        <f t="shared" si="12"/>
        <v>42460</v>
      </c>
      <c r="D371" s="60"/>
      <c r="E371" s="76"/>
      <c r="F371" s="6"/>
      <c r="H371" s="2"/>
      <c r="I371" s="2"/>
      <c r="J371" s="15"/>
      <c r="K371" s="15"/>
      <c r="M371" s="15"/>
      <c r="N371" s="15"/>
    </row>
    <row r="372">
      <c r="A372" s="28" t="s">
        <v>368</v>
      </c>
      <c r="B372" s="17">
        <v>43000.0</v>
      </c>
      <c r="C372" s="61">
        <f t="shared" si="12"/>
        <v>47300</v>
      </c>
      <c r="D372" s="60"/>
      <c r="E372" s="76"/>
      <c r="F372" s="6"/>
      <c r="G372" s="20"/>
      <c r="H372" s="2"/>
      <c r="I372" s="2"/>
      <c r="J372" s="15"/>
      <c r="K372" s="15"/>
      <c r="M372" s="15"/>
      <c r="N372" s="15"/>
    </row>
    <row r="373">
      <c r="A373" s="47" t="s">
        <v>369</v>
      </c>
      <c r="B373" s="17">
        <v>49000.0</v>
      </c>
      <c r="C373" s="61">
        <f t="shared" si="12"/>
        <v>53900</v>
      </c>
      <c r="D373" s="60"/>
      <c r="E373" s="77"/>
      <c r="F373" s="6"/>
      <c r="G373" s="15"/>
      <c r="H373" s="2"/>
      <c r="I373" s="2"/>
      <c r="J373" s="2"/>
      <c r="K373" s="2"/>
      <c r="L373" s="2"/>
      <c r="M373" s="15"/>
      <c r="N373" s="15"/>
    </row>
    <row r="374">
      <c r="A374" s="28" t="s">
        <v>370</v>
      </c>
      <c r="B374" s="17">
        <v>43900.0</v>
      </c>
      <c r="C374" s="61">
        <f t="shared" si="12"/>
        <v>48290</v>
      </c>
      <c r="D374" s="60"/>
      <c r="E374" s="76"/>
      <c r="F374" s="6"/>
      <c r="G374" s="15"/>
      <c r="H374" s="2"/>
      <c r="I374" s="2"/>
      <c r="J374" s="2"/>
      <c r="K374" s="2"/>
      <c r="L374" s="2"/>
      <c r="N374" s="2"/>
    </row>
    <row r="375">
      <c r="A375" s="47" t="s">
        <v>371</v>
      </c>
      <c r="B375" s="17">
        <v>43900.0</v>
      </c>
      <c r="C375" s="61">
        <f t="shared" si="12"/>
        <v>48290</v>
      </c>
      <c r="D375" s="60"/>
      <c r="E375" s="76"/>
      <c r="F375" s="6"/>
      <c r="H375" s="2"/>
      <c r="I375" s="2"/>
      <c r="J375" s="15"/>
      <c r="K375" s="15"/>
      <c r="L375" s="2"/>
      <c r="M375" s="15"/>
      <c r="N375" s="15"/>
    </row>
    <row r="376">
      <c r="A376" s="20" t="s">
        <v>372</v>
      </c>
      <c r="B376" s="17">
        <v>50800.0</v>
      </c>
      <c r="C376" s="61">
        <f t="shared" si="12"/>
        <v>55880</v>
      </c>
      <c r="D376" s="83"/>
      <c r="E376" s="76"/>
      <c r="F376" s="6"/>
      <c r="G376" s="20"/>
      <c r="H376" s="2"/>
      <c r="I376" s="2"/>
      <c r="J376" s="15"/>
      <c r="K376" s="15"/>
      <c r="L376" s="2"/>
      <c r="M376" s="15"/>
      <c r="N376" s="15"/>
    </row>
    <row r="377">
      <c r="A377" s="28" t="s">
        <v>373</v>
      </c>
      <c r="B377" s="17">
        <v>50800.0</v>
      </c>
      <c r="C377" s="61">
        <f t="shared" si="12"/>
        <v>55880</v>
      </c>
      <c r="D377" s="83"/>
      <c r="E377" s="77"/>
      <c r="F377" s="6"/>
      <c r="G377" s="15"/>
      <c r="H377" s="15"/>
      <c r="I377" s="2"/>
      <c r="J377" s="15"/>
      <c r="K377" s="15"/>
      <c r="L377" s="2"/>
      <c r="M377" s="15"/>
      <c r="N377" s="15"/>
    </row>
    <row r="378">
      <c r="A378" s="28" t="s">
        <v>374</v>
      </c>
      <c r="B378" s="17">
        <v>50800.0</v>
      </c>
      <c r="C378" s="61">
        <f t="shared" si="12"/>
        <v>55880</v>
      </c>
      <c r="D378" s="83"/>
      <c r="E378" s="76"/>
      <c r="F378" s="6"/>
      <c r="G378" s="15"/>
      <c r="H378" s="15"/>
      <c r="I378" s="2"/>
      <c r="J378" s="15"/>
      <c r="K378" s="15"/>
      <c r="L378" s="2"/>
      <c r="M378" s="15"/>
      <c r="N378" s="15"/>
    </row>
    <row r="379">
      <c r="A379" s="47" t="s">
        <v>375</v>
      </c>
      <c r="B379" s="17">
        <v>50800.0</v>
      </c>
      <c r="C379" s="61">
        <f t="shared" si="12"/>
        <v>55880</v>
      </c>
      <c r="D379" s="83"/>
      <c r="E379" s="76"/>
      <c r="F379" s="6"/>
      <c r="H379" s="15"/>
      <c r="I379" s="2"/>
      <c r="J379" s="24"/>
      <c r="K379" s="15"/>
      <c r="L379" s="2"/>
      <c r="M379" s="15"/>
      <c r="N379" s="15"/>
    </row>
    <row r="380">
      <c r="A380" s="28" t="s">
        <v>376</v>
      </c>
      <c r="B380" s="17">
        <v>54000.0</v>
      </c>
      <c r="C380" s="61">
        <f t="shared" si="12"/>
        <v>59400</v>
      </c>
      <c r="D380" s="83"/>
      <c r="E380" s="76"/>
      <c r="F380" s="6"/>
      <c r="G380" s="15"/>
      <c r="H380" s="15"/>
      <c r="I380" s="2"/>
      <c r="J380" s="15"/>
      <c r="K380" s="15"/>
      <c r="L380" s="2"/>
      <c r="M380" s="15"/>
      <c r="N380" s="15"/>
    </row>
    <row r="381">
      <c r="A381" s="28" t="s">
        <v>377</v>
      </c>
      <c r="B381" s="17">
        <v>78200.0</v>
      </c>
      <c r="C381" s="61">
        <f t="shared" si="12"/>
        <v>86020</v>
      </c>
      <c r="D381" s="83"/>
      <c r="E381" s="76"/>
      <c r="F381" s="6"/>
      <c r="G381" s="24"/>
      <c r="H381" s="15"/>
      <c r="I381" s="2"/>
      <c r="J381" s="15"/>
      <c r="K381" s="15"/>
      <c r="L381" s="2"/>
      <c r="M381" s="15"/>
      <c r="N381" s="15"/>
    </row>
    <row r="382">
      <c r="A382" s="15" t="s">
        <v>378</v>
      </c>
      <c r="B382" s="17">
        <v>55000.0</v>
      </c>
      <c r="C382" s="61">
        <f t="shared" si="12"/>
        <v>60500</v>
      </c>
      <c r="D382" s="83"/>
      <c r="E382" s="76"/>
      <c r="F382" s="6"/>
      <c r="G382" s="20"/>
      <c r="H382" s="20"/>
      <c r="I382" s="2"/>
      <c r="J382" s="15"/>
      <c r="K382" s="15"/>
      <c r="L382" s="2"/>
      <c r="M382" s="15"/>
      <c r="N382" s="15"/>
    </row>
    <row r="383">
      <c r="A383" s="20" t="s">
        <v>379</v>
      </c>
      <c r="B383" s="37"/>
      <c r="C383" s="62">
        <f t="shared" si="12"/>
        <v>0</v>
      </c>
      <c r="D383" s="83"/>
      <c r="E383" s="76"/>
      <c r="F383" s="6"/>
      <c r="G383" s="20"/>
      <c r="H383" s="15"/>
      <c r="I383" s="2"/>
      <c r="J383" s="15"/>
      <c r="K383" s="15"/>
      <c r="L383" s="2"/>
      <c r="M383" s="2"/>
      <c r="N383" s="2"/>
    </row>
    <row r="384">
      <c r="A384" s="20" t="s">
        <v>380</v>
      </c>
      <c r="B384" s="17">
        <v>57500.0</v>
      </c>
      <c r="C384" s="61">
        <f t="shared" si="12"/>
        <v>63250</v>
      </c>
      <c r="D384" s="83"/>
      <c r="E384" s="77"/>
      <c r="F384" s="6"/>
      <c r="G384" s="15"/>
      <c r="H384" s="15"/>
      <c r="I384" s="2"/>
      <c r="J384" s="15"/>
      <c r="K384" s="15"/>
      <c r="L384" s="2"/>
      <c r="M384" s="15"/>
      <c r="N384" s="15"/>
    </row>
    <row r="385">
      <c r="A385" s="20" t="s">
        <v>381</v>
      </c>
      <c r="B385" s="17">
        <v>57500.0</v>
      </c>
      <c r="C385" s="61">
        <f t="shared" si="12"/>
        <v>63250</v>
      </c>
      <c r="D385" s="83"/>
      <c r="E385" s="76"/>
      <c r="F385" s="6"/>
      <c r="G385" s="15"/>
      <c r="H385" s="15"/>
      <c r="I385" s="2"/>
      <c r="J385" s="15"/>
      <c r="K385" s="15"/>
      <c r="L385" s="2"/>
      <c r="M385" s="15"/>
      <c r="N385" s="15"/>
    </row>
    <row r="386">
      <c r="A386" s="47" t="s">
        <v>382</v>
      </c>
      <c r="B386" s="37"/>
      <c r="C386" s="62">
        <f t="shared" si="12"/>
        <v>0</v>
      </c>
      <c r="D386" s="83"/>
      <c r="H386" s="15"/>
      <c r="I386" s="2"/>
      <c r="J386" s="15"/>
      <c r="K386" s="15"/>
      <c r="L386" s="2"/>
      <c r="M386" s="2"/>
      <c r="N386" s="2"/>
    </row>
    <row r="387">
      <c r="A387" s="47" t="s">
        <v>383</v>
      </c>
      <c r="B387" s="17">
        <v>62000.0</v>
      </c>
      <c r="C387" s="61">
        <f t="shared" si="12"/>
        <v>68200</v>
      </c>
      <c r="D387" s="83"/>
      <c r="E387" s="63"/>
      <c r="F387" s="63"/>
      <c r="G387" s="20"/>
      <c r="H387" s="2"/>
      <c r="I387" s="2"/>
      <c r="J387" s="15"/>
      <c r="K387" s="15"/>
      <c r="L387" s="2"/>
      <c r="M387" s="15"/>
      <c r="N387" s="15"/>
    </row>
    <row r="388">
      <c r="A388" s="47" t="s">
        <v>384</v>
      </c>
      <c r="B388" s="17">
        <v>57500.0</v>
      </c>
      <c r="C388" s="61">
        <f t="shared" si="12"/>
        <v>63250</v>
      </c>
      <c r="D388" s="83"/>
      <c r="E388" s="63"/>
      <c r="F388" s="63"/>
      <c r="G388" s="20"/>
      <c r="H388" s="2"/>
      <c r="I388" s="2"/>
      <c r="J388" s="15"/>
      <c r="K388" s="15"/>
      <c r="L388" s="2"/>
      <c r="M388" s="15"/>
      <c r="N388" s="15"/>
    </row>
    <row r="389">
      <c r="A389" s="45" t="s">
        <v>385</v>
      </c>
      <c r="B389" s="17">
        <v>115000.0</v>
      </c>
      <c r="C389" s="61">
        <f t="shared" si="12"/>
        <v>126500</v>
      </c>
      <c r="D389" s="83"/>
      <c r="E389" s="63"/>
      <c r="F389" s="63"/>
      <c r="G389" s="20"/>
      <c r="H389" s="2"/>
      <c r="I389" s="2"/>
      <c r="J389" s="15"/>
      <c r="K389" s="15"/>
      <c r="L389" s="2"/>
      <c r="M389" s="15"/>
      <c r="N389" s="15"/>
    </row>
    <row r="390">
      <c r="A390" s="47" t="s">
        <v>386</v>
      </c>
      <c r="B390" s="17">
        <v>115000.0</v>
      </c>
      <c r="C390" s="61">
        <f t="shared" si="12"/>
        <v>126500</v>
      </c>
      <c r="D390" s="83"/>
      <c r="E390" s="63"/>
      <c r="F390" s="63"/>
      <c r="G390" s="20"/>
      <c r="H390" s="68"/>
      <c r="I390" s="2"/>
      <c r="J390" s="15"/>
      <c r="K390" s="15"/>
      <c r="L390" s="2"/>
      <c r="M390" s="15"/>
      <c r="N390" s="84"/>
    </row>
    <row r="391">
      <c r="A391" s="5" t="s">
        <v>387</v>
      </c>
      <c r="B391" s="17">
        <v>115000.0</v>
      </c>
      <c r="C391" s="61">
        <f t="shared" si="12"/>
        <v>126500</v>
      </c>
      <c r="D391" s="83"/>
      <c r="E391" s="85" t="s">
        <v>388</v>
      </c>
      <c r="F391" s="63"/>
      <c r="G391" s="20"/>
      <c r="H391" s="68"/>
      <c r="I391" s="2"/>
      <c r="J391" s="15"/>
      <c r="K391" s="15"/>
      <c r="L391" s="2"/>
      <c r="M391" s="15"/>
      <c r="N391" s="84"/>
    </row>
    <row r="392">
      <c r="A392" s="15" t="s">
        <v>389</v>
      </c>
      <c r="B392" s="37"/>
      <c r="C392" s="62">
        <f t="shared" si="12"/>
        <v>0</v>
      </c>
      <c r="D392" s="83"/>
      <c r="E392" s="63"/>
      <c r="F392" s="63"/>
      <c r="G392" s="20"/>
      <c r="H392" s="86"/>
      <c r="I392" s="2"/>
      <c r="J392" s="2"/>
      <c r="K392" s="2"/>
      <c r="L392" s="2"/>
      <c r="M392" s="15"/>
      <c r="N392" s="15"/>
    </row>
    <row r="393">
      <c r="A393" s="47" t="s">
        <v>390</v>
      </c>
      <c r="B393" s="27">
        <v>165600.0</v>
      </c>
      <c r="C393" s="61">
        <f t="shared" si="12"/>
        <v>182160</v>
      </c>
      <c r="D393" s="83"/>
      <c r="E393" s="63"/>
      <c r="F393" s="63"/>
      <c r="G393" s="20"/>
      <c r="H393" s="68"/>
      <c r="I393" s="2"/>
      <c r="J393" s="4"/>
      <c r="K393" s="14"/>
      <c r="L393" s="2"/>
      <c r="M393" s="15"/>
      <c r="N393" s="15"/>
    </row>
    <row r="394">
      <c r="A394" s="47" t="s">
        <v>391</v>
      </c>
      <c r="B394" s="27">
        <v>156400.0</v>
      </c>
      <c r="C394" s="61">
        <f t="shared" si="12"/>
        <v>172040</v>
      </c>
      <c r="D394" s="83"/>
      <c r="E394" s="63"/>
      <c r="F394" s="63"/>
      <c r="G394" s="20"/>
      <c r="H394" s="68"/>
      <c r="I394" s="2"/>
      <c r="J394" s="4"/>
      <c r="K394" s="14"/>
      <c r="L394" s="2"/>
      <c r="M394" s="24"/>
      <c r="N394" s="15"/>
    </row>
    <row r="395">
      <c r="A395" s="47" t="s">
        <v>392</v>
      </c>
      <c r="B395" s="27">
        <v>110000.0</v>
      </c>
      <c r="C395" s="61">
        <f t="shared" si="12"/>
        <v>121000</v>
      </c>
      <c r="D395" s="83"/>
      <c r="E395" s="63"/>
      <c r="F395" s="63"/>
      <c r="G395" s="20"/>
      <c r="H395" s="68"/>
      <c r="I395" s="2"/>
      <c r="J395" s="4"/>
      <c r="K395" s="14"/>
      <c r="L395" s="2"/>
      <c r="M395" s="15"/>
      <c r="N395" s="15"/>
    </row>
    <row r="396">
      <c r="A396" s="47" t="s">
        <v>393</v>
      </c>
      <c r="B396" s="27">
        <v>165600.0</v>
      </c>
      <c r="C396" s="61">
        <f t="shared" si="12"/>
        <v>182160</v>
      </c>
      <c r="D396" s="83"/>
      <c r="E396" s="63"/>
      <c r="F396" s="63"/>
      <c r="G396" s="20"/>
      <c r="H396" s="68"/>
      <c r="I396" s="2"/>
      <c r="J396" s="4"/>
      <c r="K396" s="14"/>
      <c r="L396" s="2"/>
      <c r="M396" s="24"/>
      <c r="N396" s="15"/>
    </row>
    <row r="397">
      <c r="A397" s="47" t="s">
        <v>394</v>
      </c>
      <c r="B397" s="27">
        <v>195500.0</v>
      </c>
      <c r="C397" s="61">
        <f t="shared" si="12"/>
        <v>215050</v>
      </c>
      <c r="D397" s="83"/>
      <c r="E397" s="63"/>
      <c r="F397" s="63"/>
      <c r="G397" s="20"/>
      <c r="H397" s="20"/>
      <c r="I397" s="2"/>
      <c r="J397" s="4"/>
      <c r="K397" s="14"/>
      <c r="L397" s="2"/>
      <c r="M397" s="15"/>
      <c r="N397" s="15"/>
    </row>
    <row r="398">
      <c r="A398" s="47" t="s">
        <v>395</v>
      </c>
      <c r="B398" s="27">
        <v>150000.0</v>
      </c>
      <c r="C398" s="61">
        <f t="shared" si="12"/>
        <v>165000</v>
      </c>
      <c r="D398" s="83"/>
      <c r="E398" s="63"/>
      <c r="F398" s="63"/>
      <c r="G398" s="20"/>
      <c r="H398" s="20"/>
      <c r="I398" s="2"/>
      <c r="J398" s="4"/>
      <c r="K398" s="14"/>
      <c r="L398" s="2"/>
      <c r="M398" s="15"/>
      <c r="N398" s="15"/>
    </row>
    <row r="399">
      <c r="A399" s="47" t="s">
        <v>396</v>
      </c>
      <c r="B399" s="27">
        <v>62000.0</v>
      </c>
      <c r="C399" s="18">
        <v>69000.0</v>
      </c>
      <c r="D399" s="83"/>
      <c r="E399" s="63"/>
      <c r="F399" s="63"/>
      <c r="G399" s="20"/>
      <c r="H399" s="20"/>
      <c r="I399" s="2"/>
      <c r="J399" s="4"/>
      <c r="K399" s="14"/>
      <c r="L399" s="2"/>
      <c r="M399" s="15"/>
      <c r="N399" s="15"/>
    </row>
    <row r="400">
      <c r="A400" s="47" t="s">
        <v>397</v>
      </c>
      <c r="B400" s="87">
        <v>52900.0</v>
      </c>
      <c r="C400" s="62">
        <f t="shared" ref="C400:C401" si="13">(B400*1.1)</f>
        <v>58190</v>
      </c>
      <c r="D400" s="83"/>
      <c r="E400" s="63"/>
      <c r="F400" s="63"/>
      <c r="G400" s="20"/>
      <c r="H400" s="20"/>
      <c r="I400" s="2"/>
      <c r="J400" s="4"/>
      <c r="K400" s="14"/>
      <c r="L400" s="2"/>
      <c r="M400" s="88"/>
      <c r="N400" s="84"/>
    </row>
    <row r="401">
      <c r="A401" s="47" t="s">
        <v>398</v>
      </c>
      <c r="B401" s="87">
        <v>49500.0</v>
      </c>
      <c r="C401" s="62">
        <f t="shared" si="13"/>
        <v>54450</v>
      </c>
      <c r="D401" s="83"/>
      <c r="E401" s="63"/>
      <c r="F401" s="63"/>
      <c r="G401" s="20"/>
      <c r="H401" s="20"/>
      <c r="I401" s="2"/>
      <c r="J401" s="4"/>
      <c r="K401" s="14"/>
      <c r="L401" s="2"/>
      <c r="M401" s="84"/>
      <c r="N401" s="84"/>
    </row>
    <row r="402">
      <c r="A402" s="13"/>
      <c r="B402" s="68"/>
      <c r="C402" s="9"/>
      <c r="D402" s="89"/>
      <c r="E402" s="63"/>
      <c r="F402" s="63"/>
      <c r="G402" s="20"/>
      <c r="H402" s="15"/>
      <c r="I402" s="2"/>
      <c r="J402" s="4"/>
      <c r="K402" s="14"/>
      <c r="M402" s="15"/>
      <c r="N402" s="84"/>
    </row>
    <row r="403">
      <c r="A403" s="13"/>
      <c r="B403" s="68"/>
      <c r="C403" s="9"/>
      <c r="D403" s="89"/>
      <c r="E403" s="63"/>
      <c r="F403" s="63"/>
      <c r="G403" s="20"/>
      <c r="H403" s="15"/>
      <c r="I403" s="2"/>
      <c r="J403" s="4"/>
      <c r="K403" s="14"/>
      <c r="L403" s="2"/>
      <c r="M403" s="4"/>
      <c r="N403" s="4"/>
    </row>
    <row r="404">
      <c r="A404" s="90" t="s">
        <v>399</v>
      </c>
      <c r="B404" s="44" t="s">
        <v>145</v>
      </c>
      <c r="C404" s="91" t="s">
        <v>6</v>
      </c>
      <c r="D404" s="92"/>
      <c r="E404" s="63"/>
      <c r="F404" s="63"/>
      <c r="G404" s="20"/>
      <c r="I404" s="2"/>
      <c r="J404" s="4"/>
      <c r="K404" s="14"/>
      <c r="L404" s="2"/>
      <c r="M404" s="4"/>
      <c r="N404" s="4"/>
    </row>
    <row r="405">
      <c r="A405" s="28" t="s">
        <v>400</v>
      </c>
      <c r="B405" s="44">
        <v>26500.0</v>
      </c>
      <c r="C405" s="93">
        <f t="shared" ref="C405:C438" si="14">(B405*1.1)</f>
        <v>29150</v>
      </c>
      <c r="D405" s="94"/>
      <c r="E405" s="63"/>
      <c r="F405" s="63"/>
      <c r="G405" s="20"/>
      <c r="H405" s="20"/>
      <c r="I405" s="2"/>
      <c r="J405" s="15"/>
      <c r="K405" s="15"/>
      <c r="L405" s="2"/>
      <c r="M405" s="15"/>
      <c r="N405" s="15"/>
    </row>
    <row r="406">
      <c r="A406" s="28" t="s">
        <v>401</v>
      </c>
      <c r="B406" s="44">
        <v>33400.0</v>
      </c>
      <c r="C406" s="93">
        <f t="shared" si="14"/>
        <v>36740</v>
      </c>
      <c r="D406" s="94"/>
      <c r="E406" s="63"/>
      <c r="F406" s="63"/>
      <c r="G406" s="20"/>
      <c r="I406" s="2"/>
      <c r="J406" s="15"/>
      <c r="K406" s="15"/>
      <c r="L406" s="2"/>
      <c r="M406" s="15"/>
      <c r="N406" s="15"/>
    </row>
    <row r="407">
      <c r="A407" s="28" t="s">
        <v>402</v>
      </c>
      <c r="B407" s="44">
        <v>33400.0</v>
      </c>
      <c r="C407" s="93">
        <f t="shared" si="14"/>
        <v>36740</v>
      </c>
      <c r="D407" s="94"/>
      <c r="E407" s="63"/>
      <c r="F407" s="63"/>
      <c r="G407" s="20"/>
      <c r="I407" s="2"/>
      <c r="J407" s="15"/>
      <c r="K407" s="15"/>
      <c r="L407" s="2"/>
      <c r="M407" s="15"/>
      <c r="N407" s="15"/>
    </row>
    <row r="408">
      <c r="A408" s="28" t="s">
        <v>403</v>
      </c>
      <c r="B408" s="44">
        <v>43700.0</v>
      </c>
      <c r="C408" s="93">
        <f t="shared" si="14"/>
        <v>48070</v>
      </c>
      <c r="D408" s="94"/>
      <c r="E408" s="63"/>
      <c r="F408" s="63"/>
      <c r="G408" s="20"/>
      <c r="I408" s="2"/>
      <c r="J408" s="15"/>
      <c r="K408" s="15"/>
      <c r="L408" s="2"/>
      <c r="M408" s="15"/>
      <c r="N408" s="15"/>
    </row>
    <row r="409">
      <c r="A409" s="28" t="s">
        <v>404</v>
      </c>
      <c r="B409" s="44">
        <v>41200.0</v>
      </c>
      <c r="C409" s="93">
        <f t="shared" si="14"/>
        <v>45320</v>
      </c>
      <c r="D409" s="94"/>
      <c r="J409" s="15"/>
      <c r="K409" s="15"/>
      <c r="M409" s="15"/>
      <c r="N409" s="15"/>
    </row>
    <row r="410">
      <c r="A410" s="28" t="s">
        <v>405</v>
      </c>
      <c r="B410" s="44">
        <v>41200.0</v>
      </c>
      <c r="C410" s="93">
        <f t="shared" si="14"/>
        <v>45320</v>
      </c>
      <c r="D410" s="95"/>
      <c r="M410" s="15"/>
      <c r="N410" s="15"/>
    </row>
    <row r="411">
      <c r="A411" s="28" t="s">
        <v>406</v>
      </c>
      <c r="B411" s="44">
        <v>41200.0</v>
      </c>
      <c r="C411" s="93">
        <f t="shared" si="14"/>
        <v>45320</v>
      </c>
      <c r="D411" s="94"/>
      <c r="I411" s="2"/>
      <c r="J411" s="15"/>
      <c r="K411" s="15"/>
      <c r="L411" s="2"/>
      <c r="M411" s="15"/>
      <c r="N411" s="15"/>
    </row>
    <row r="412">
      <c r="A412" s="28" t="s">
        <v>407</v>
      </c>
      <c r="B412" s="44">
        <v>41200.0</v>
      </c>
      <c r="C412" s="93">
        <f t="shared" si="14"/>
        <v>45320</v>
      </c>
      <c r="D412" s="94"/>
      <c r="H412" s="15"/>
      <c r="I412" s="2"/>
      <c r="J412" s="15"/>
      <c r="K412" s="15"/>
      <c r="L412" s="2"/>
      <c r="M412" s="15"/>
      <c r="N412" s="15"/>
    </row>
    <row r="413">
      <c r="A413" s="15" t="s">
        <v>408</v>
      </c>
      <c r="B413" s="44">
        <v>42500.0</v>
      </c>
      <c r="C413" s="93">
        <f t="shared" si="14"/>
        <v>46750</v>
      </c>
      <c r="D413" s="94"/>
      <c r="I413" s="2"/>
      <c r="J413" s="15"/>
      <c r="K413" s="15"/>
      <c r="L413" s="2"/>
      <c r="M413" s="15"/>
      <c r="N413" s="15"/>
    </row>
    <row r="414">
      <c r="A414" s="47" t="s">
        <v>409</v>
      </c>
      <c r="B414" s="44">
        <v>41200.0</v>
      </c>
      <c r="C414" s="93">
        <f t="shared" si="14"/>
        <v>45320</v>
      </c>
      <c r="D414" s="94"/>
      <c r="I414" s="2"/>
      <c r="J414" s="20"/>
      <c r="K414" s="15"/>
      <c r="L414" s="2"/>
      <c r="M414" s="15"/>
      <c r="N414" s="15"/>
    </row>
    <row r="415">
      <c r="A415" s="20" t="s">
        <v>410</v>
      </c>
      <c r="B415" s="44">
        <v>50600.0</v>
      </c>
      <c r="C415" s="93">
        <f t="shared" si="14"/>
        <v>55660</v>
      </c>
      <c r="D415" s="94"/>
      <c r="H415" s="15"/>
      <c r="I415" s="2"/>
      <c r="J415" s="20"/>
      <c r="K415" s="15"/>
      <c r="L415" s="2"/>
      <c r="M415" s="15"/>
      <c r="N415" s="15"/>
    </row>
    <row r="416">
      <c r="A416" s="47" t="s">
        <v>411</v>
      </c>
      <c r="B416" s="44">
        <v>45500.0</v>
      </c>
      <c r="C416" s="93">
        <f t="shared" si="14"/>
        <v>50050</v>
      </c>
      <c r="D416" s="94"/>
      <c r="H416" s="20"/>
      <c r="I416" s="2"/>
      <c r="J416" s="15"/>
      <c r="K416" s="15"/>
      <c r="L416" s="2"/>
      <c r="M416" s="2"/>
      <c r="N416" s="2"/>
    </row>
    <row r="417">
      <c r="A417" s="47" t="s">
        <v>412</v>
      </c>
      <c r="B417" s="44">
        <v>46000.0</v>
      </c>
      <c r="C417" s="93">
        <f t="shared" si="14"/>
        <v>50600</v>
      </c>
      <c r="D417" s="94"/>
      <c r="H417" s="20"/>
      <c r="I417" s="2"/>
      <c r="J417" s="24"/>
      <c r="K417" s="15"/>
      <c r="L417" s="2"/>
      <c r="M417" s="2"/>
      <c r="N417" s="2"/>
    </row>
    <row r="418">
      <c r="A418" s="20" t="s">
        <v>413</v>
      </c>
      <c r="B418" s="44">
        <v>44800.0</v>
      </c>
      <c r="C418" s="93">
        <f t="shared" si="14"/>
        <v>49280</v>
      </c>
      <c r="D418" s="94"/>
      <c r="H418" s="20"/>
      <c r="I418" s="2"/>
      <c r="J418" s="15"/>
      <c r="K418" s="15"/>
      <c r="L418" s="2"/>
      <c r="M418" s="15"/>
      <c r="N418" s="15"/>
    </row>
    <row r="419">
      <c r="A419" s="15" t="s">
        <v>414</v>
      </c>
      <c r="B419" s="44">
        <v>42600.0</v>
      </c>
      <c r="C419" s="93">
        <f t="shared" si="14"/>
        <v>46860</v>
      </c>
      <c r="D419" s="94"/>
      <c r="H419" s="15"/>
      <c r="I419" s="2"/>
      <c r="J419" s="15"/>
      <c r="K419" s="15"/>
      <c r="L419" s="2"/>
      <c r="M419" s="15"/>
      <c r="N419" s="15"/>
    </row>
    <row r="420">
      <c r="A420" s="20" t="s">
        <v>415</v>
      </c>
      <c r="B420" s="44">
        <v>49500.0</v>
      </c>
      <c r="C420" s="93">
        <f t="shared" si="14"/>
        <v>54450</v>
      </c>
      <c r="D420" s="94"/>
      <c r="H420" s="20"/>
      <c r="I420" s="2"/>
      <c r="J420" s="15"/>
      <c r="K420" s="15"/>
      <c r="L420" s="2"/>
      <c r="M420" s="15"/>
      <c r="N420" s="15"/>
    </row>
    <row r="421">
      <c r="A421" s="47" t="s">
        <v>416</v>
      </c>
      <c r="B421" s="44">
        <v>50400.0</v>
      </c>
      <c r="C421" s="93">
        <f t="shared" si="14"/>
        <v>55440</v>
      </c>
      <c r="D421" s="94"/>
      <c r="H421" s="15"/>
      <c r="I421" s="2"/>
      <c r="J421" s="24"/>
      <c r="K421" s="15"/>
      <c r="M421" s="15"/>
      <c r="N421" s="15"/>
    </row>
    <row r="422">
      <c r="A422" s="15" t="s">
        <v>417</v>
      </c>
      <c r="B422" s="44">
        <v>51800.0</v>
      </c>
      <c r="C422" s="93">
        <f t="shared" si="14"/>
        <v>56980</v>
      </c>
      <c r="D422" s="94"/>
      <c r="H422" s="15"/>
      <c r="I422" s="2"/>
      <c r="J422" s="15"/>
      <c r="K422" s="15"/>
      <c r="M422" s="15"/>
      <c r="N422" s="15"/>
    </row>
    <row r="423">
      <c r="A423" s="15" t="s">
        <v>418</v>
      </c>
      <c r="B423" s="44">
        <v>48300.0</v>
      </c>
      <c r="C423" s="93">
        <f t="shared" si="14"/>
        <v>53130</v>
      </c>
      <c r="D423" s="94"/>
      <c r="H423" s="20"/>
      <c r="J423" s="15"/>
      <c r="K423" s="15"/>
      <c r="M423" s="15"/>
      <c r="N423" s="15"/>
    </row>
    <row r="424">
      <c r="A424" s="15" t="s">
        <v>419</v>
      </c>
      <c r="B424" s="44">
        <v>47200.0</v>
      </c>
      <c r="C424" s="93">
        <f t="shared" si="14"/>
        <v>51920</v>
      </c>
      <c r="D424" s="94"/>
      <c r="E424" s="5">
        <v>66930.0</v>
      </c>
      <c r="F424" s="5">
        <v>73600.0</v>
      </c>
      <c r="H424" s="15"/>
      <c r="I424" s="2"/>
      <c r="L424" s="2"/>
      <c r="M424" s="2"/>
      <c r="N424" s="2"/>
    </row>
    <row r="425">
      <c r="A425" s="15" t="s">
        <v>420</v>
      </c>
      <c r="B425" s="44">
        <v>47200.0</v>
      </c>
      <c r="C425" s="93">
        <f t="shared" si="14"/>
        <v>51920</v>
      </c>
      <c r="D425" s="94"/>
      <c r="E425" s="5" t="s">
        <v>421</v>
      </c>
      <c r="F425" s="5">
        <v>73.0</v>
      </c>
      <c r="H425" s="15"/>
      <c r="I425" s="2"/>
      <c r="L425" s="2"/>
      <c r="M425" s="15"/>
      <c r="N425" s="15"/>
    </row>
    <row r="426">
      <c r="A426" s="47" t="s">
        <v>422</v>
      </c>
      <c r="B426" s="44">
        <v>50400.0</v>
      </c>
      <c r="C426" s="93">
        <f t="shared" si="14"/>
        <v>55440</v>
      </c>
      <c r="D426" s="94"/>
      <c r="H426" s="15"/>
      <c r="I426" s="2"/>
      <c r="J426" s="24"/>
      <c r="K426" s="15"/>
      <c r="L426" s="2"/>
      <c r="M426" s="15"/>
      <c r="N426" s="15"/>
    </row>
    <row r="427">
      <c r="A427" s="47" t="s">
        <v>423</v>
      </c>
      <c r="B427" s="37"/>
      <c r="C427" s="93">
        <f t="shared" si="14"/>
        <v>0</v>
      </c>
      <c r="D427" s="94"/>
      <c r="H427" s="15"/>
      <c r="I427" s="2"/>
      <c r="J427" s="15"/>
      <c r="K427" s="15"/>
      <c r="L427" s="2"/>
      <c r="M427" s="15"/>
      <c r="N427" s="15"/>
    </row>
    <row r="428">
      <c r="A428" s="47" t="s">
        <v>424</v>
      </c>
      <c r="B428" s="44">
        <v>57000.0</v>
      </c>
      <c r="C428" s="93">
        <f t="shared" si="14"/>
        <v>62700</v>
      </c>
      <c r="D428" s="94"/>
      <c r="H428" s="15"/>
      <c r="I428" s="2"/>
      <c r="J428" s="15"/>
      <c r="K428" s="15"/>
      <c r="L428" s="2"/>
      <c r="M428" s="15"/>
      <c r="N428" s="15"/>
    </row>
    <row r="429">
      <c r="A429" s="28" t="s">
        <v>425</v>
      </c>
      <c r="B429" s="44">
        <v>67800.0</v>
      </c>
      <c r="C429" s="93">
        <f t="shared" si="14"/>
        <v>74580</v>
      </c>
      <c r="D429" s="94"/>
      <c r="H429" s="15"/>
      <c r="I429" s="2"/>
      <c r="J429" s="15"/>
      <c r="K429" s="15"/>
      <c r="L429" s="2"/>
      <c r="M429" s="2"/>
    </row>
    <row r="430">
      <c r="A430" s="28" t="s">
        <v>426</v>
      </c>
      <c r="B430" s="44">
        <v>50400.0</v>
      </c>
      <c r="C430" s="93">
        <f t="shared" si="14"/>
        <v>55440</v>
      </c>
      <c r="D430" s="94"/>
      <c r="E430" s="76"/>
      <c r="F430" s="6"/>
      <c r="G430" s="20">
        <f t="shared" ref="G430:G431" si="15">(F430*2.3)</f>
        <v>0</v>
      </c>
      <c r="H430" s="15"/>
      <c r="I430" s="2"/>
      <c r="J430" s="15"/>
      <c r="K430" s="15"/>
      <c r="L430" s="2"/>
      <c r="M430" s="2"/>
    </row>
    <row r="431">
      <c r="A431" s="28" t="s">
        <v>427</v>
      </c>
      <c r="B431" s="44">
        <v>127800.0</v>
      </c>
      <c r="C431" s="93">
        <f t="shared" si="14"/>
        <v>140580</v>
      </c>
      <c r="D431" s="94"/>
      <c r="E431" s="76"/>
      <c r="F431" s="6"/>
      <c r="G431" s="20">
        <f t="shared" si="15"/>
        <v>0</v>
      </c>
      <c r="H431" s="15"/>
      <c r="I431" s="2"/>
      <c r="J431" s="15"/>
      <c r="K431" s="15"/>
      <c r="L431" s="2"/>
      <c r="M431" s="2"/>
    </row>
    <row r="432">
      <c r="A432" s="28" t="s">
        <v>428</v>
      </c>
      <c r="B432" s="44"/>
      <c r="C432" s="93">
        <f t="shared" si="14"/>
        <v>0</v>
      </c>
      <c r="D432" s="94"/>
      <c r="E432" s="76"/>
      <c r="F432" s="6"/>
      <c r="G432" s="15"/>
      <c r="H432" s="15"/>
      <c r="I432" s="2"/>
      <c r="J432" s="15"/>
      <c r="K432" s="15"/>
      <c r="L432" s="2"/>
      <c r="M432" s="2"/>
    </row>
    <row r="433">
      <c r="A433" s="20" t="s">
        <v>429</v>
      </c>
      <c r="B433" s="44">
        <v>52700.0</v>
      </c>
      <c r="C433" s="93">
        <f t="shared" si="14"/>
        <v>57970</v>
      </c>
      <c r="D433" s="94"/>
      <c r="E433" s="77"/>
      <c r="F433" s="6"/>
      <c r="G433" s="20"/>
      <c r="H433" s="15"/>
      <c r="I433" s="2"/>
      <c r="J433" s="15"/>
      <c r="K433" s="15"/>
      <c r="L433" s="2"/>
      <c r="M433" s="15"/>
      <c r="N433" s="15"/>
    </row>
    <row r="434">
      <c r="A434" s="47" t="s">
        <v>430</v>
      </c>
      <c r="B434" s="44">
        <v>51800.0</v>
      </c>
      <c r="C434" s="93">
        <f t="shared" si="14"/>
        <v>56980</v>
      </c>
      <c r="D434" s="94"/>
      <c r="E434" s="76"/>
      <c r="F434" s="6"/>
      <c r="G434" s="24"/>
      <c r="H434" s="15"/>
      <c r="I434" s="2"/>
      <c r="J434" s="15"/>
      <c r="K434" s="15"/>
      <c r="M434" s="15"/>
      <c r="N434" s="15"/>
    </row>
    <row r="435">
      <c r="A435" s="28" t="s">
        <v>431</v>
      </c>
      <c r="B435" s="44">
        <v>47600.0</v>
      </c>
      <c r="C435" s="93">
        <f t="shared" si="14"/>
        <v>52360</v>
      </c>
      <c r="D435" s="96"/>
      <c r="E435" s="76"/>
      <c r="F435" s="6"/>
      <c r="G435" s="20"/>
      <c r="H435" s="15"/>
      <c r="I435" s="2"/>
      <c r="J435" s="15"/>
      <c r="K435" s="15"/>
      <c r="M435" s="15"/>
      <c r="N435" s="15"/>
    </row>
    <row r="436">
      <c r="A436" s="28" t="s">
        <v>432</v>
      </c>
      <c r="B436" s="44">
        <v>49000.0</v>
      </c>
      <c r="C436" s="93">
        <f t="shared" si="14"/>
        <v>53900</v>
      </c>
      <c r="D436" s="96"/>
      <c r="E436" s="76"/>
      <c r="F436" s="6"/>
      <c r="G436" s="24"/>
      <c r="H436" s="15"/>
      <c r="I436" s="2"/>
      <c r="M436" s="15"/>
      <c r="N436" s="15"/>
    </row>
    <row r="437">
      <c r="A437" s="28" t="s">
        <v>433</v>
      </c>
      <c r="B437" s="37"/>
      <c r="C437" s="93">
        <f t="shared" si="14"/>
        <v>0</v>
      </c>
      <c r="D437" s="96"/>
      <c r="E437" s="76"/>
      <c r="F437" s="6"/>
      <c r="G437" s="15"/>
      <c r="H437" s="20"/>
      <c r="I437" s="2"/>
      <c r="J437" s="15"/>
      <c r="K437" s="15"/>
      <c r="M437" s="2"/>
      <c r="N437" s="2"/>
    </row>
    <row r="438">
      <c r="A438" s="20" t="s">
        <v>434</v>
      </c>
      <c r="B438" s="44"/>
      <c r="C438" s="93">
        <f t="shared" si="14"/>
        <v>0</v>
      </c>
      <c r="D438" s="97"/>
      <c r="E438" s="20"/>
      <c r="F438" s="6"/>
      <c r="G438" s="20"/>
      <c r="H438" s="15"/>
      <c r="I438" s="2"/>
      <c r="J438" s="15"/>
      <c r="K438" s="15"/>
      <c r="L438" s="2"/>
      <c r="M438" s="15"/>
      <c r="N438" s="15"/>
    </row>
    <row r="439">
      <c r="A439" s="15" t="s">
        <v>435</v>
      </c>
      <c r="B439" s="35"/>
      <c r="C439" s="93"/>
      <c r="D439" s="97"/>
      <c r="E439" s="35"/>
      <c r="F439" s="98"/>
      <c r="G439" s="20"/>
      <c r="H439" s="20"/>
      <c r="I439" s="2"/>
      <c r="J439" s="15"/>
      <c r="K439" s="15"/>
      <c r="L439" s="2"/>
      <c r="M439" s="15"/>
      <c r="N439" s="15"/>
    </row>
    <row r="440">
      <c r="A440" s="28" t="s">
        <v>436</v>
      </c>
      <c r="B440" s="20" t="s">
        <v>19</v>
      </c>
      <c r="C440" s="93"/>
      <c r="D440" s="95"/>
      <c r="E440" s="20"/>
      <c r="F440" s="98"/>
      <c r="L440" s="2"/>
      <c r="M440" s="2"/>
      <c r="N440" s="2"/>
    </row>
    <row r="441">
      <c r="A441" s="15" t="s">
        <v>437</v>
      </c>
      <c r="B441" s="2"/>
      <c r="C441" s="93"/>
      <c r="D441" s="97"/>
      <c r="E441" s="2"/>
      <c r="F441" s="98"/>
      <c r="G441" s="20"/>
      <c r="H441" s="15"/>
      <c r="I441" s="2"/>
      <c r="J441" s="15"/>
      <c r="L441" s="2"/>
      <c r="M441" s="2"/>
      <c r="N441" s="2"/>
    </row>
    <row r="442">
      <c r="A442" s="15" t="s">
        <v>438</v>
      </c>
      <c r="B442" s="15"/>
      <c r="C442" s="93"/>
      <c r="D442" s="97"/>
      <c r="E442" s="15"/>
      <c r="F442" s="98"/>
      <c r="G442" s="20"/>
      <c r="H442" s="20"/>
      <c r="J442" s="15"/>
      <c r="L442" s="2"/>
      <c r="M442" s="15"/>
      <c r="N442" s="15"/>
    </row>
    <row r="443">
      <c r="A443" s="15" t="s">
        <v>439</v>
      </c>
      <c r="B443" s="15"/>
      <c r="C443" s="93"/>
      <c r="D443" s="97"/>
      <c r="E443" s="15"/>
      <c r="F443" s="98"/>
      <c r="G443" s="20"/>
      <c r="H443" s="20"/>
      <c r="J443" s="15"/>
      <c r="L443" s="2"/>
      <c r="M443" s="2"/>
      <c r="N443" s="2"/>
    </row>
    <row r="444">
      <c r="A444" s="15" t="s">
        <v>440</v>
      </c>
      <c r="B444" s="15"/>
      <c r="C444" s="93"/>
      <c r="D444" s="97"/>
      <c r="E444" s="15"/>
      <c r="F444" s="98"/>
      <c r="G444" s="20"/>
      <c r="H444" s="20"/>
      <c r="I444" s="2"/>
      <c r="J444" s="15"/>
      <c r="K444" s="2"/>
      <c r="L444" s="2"/>
      <c r="M444" s="2"/>
      <c r="N444" s="2"/>
    </row>
    <row r="445">
      <c r="A445" s="13"/>
      <c r="B445" s="35"/>
      <c r="C445" s="9"/>
      <c r="D445" s="13"/>
      <c r="E445" s="35"/>
      <c r="F445" s="99"/>
      <c r="I445" s="2"/>
      <c r="J445" s="4"/>
      <c r="K445" s="14"/>
      <c r="L445" s="2"/>
      <c r="M445" s="15"/>
      <c r="N445" s="15"/>
    </row>
    <row r="446">
      <c r="A446" s="13"/>
      <c r="B446" s="35"/>
      <c r="C446" s="9"/>
      <c r="D446" s="13"/>
      <c r="E446" s="35"/>
      <c r="F446" s="99"/>
      <c r="G446" s="60"/>
      <c r="H446" s="68"/>
      <c r="I446" s="2"/>
      <c r="J446" s="4"/>
      <c r="K446" s="14"/>
      <c r="L446" s="2"/>
      <c r="M446" s="2"/>
      <c r="N446" s="2"/>
    </row>
    <row r="447">
      <c r="A447" s="100" t="s">
        <v>441</v>
      </c>
      <c r="B447" s="44" t="s">
        <v>145</v>
      </c>
      <c r="C447" s="91" t="s">
        <v>6</v>
      </c>
      <c r="D447" s="101"/>
      <c r="E447" s="102"/>
      <c r="F447" s="6"/>
      <c r="G447" s="60"/>
      <c r="H447" s="68"/>
      <c r="I447" s="2"/>
      <c r="J447" s="4"/>
      <c r="K447" s="14"/>
      <c r="M447" s="4"/>
      <c r="N447" s="4"/>
    </row>
    <row r="448">
      <c r="A448" s="28" t="s">
        <v>442</v>
      </c>
      <c r="B448" s="44">
        <v>45700.0</v>
      </c>
      <c r="C448" s="93">
        <f t="shared" ref="C448:C502" si="16">(B448*1.1)</f>
        <v>50270</v>
      </c>
      <c r="D448" s="94"/>
      <c r="E448" s="76"/>
      <c r="F448" s="6"/>
      <c r="G448" s="35"/>
      <c r="H448" s="35"/>
      <c r="I448" s="2"/>
      <c r="J448" s="2"/>
      <c r="K448" s="2"/>
      <c r="M448" s="15"/>
      <c r="N448" s="15"/>
    </row>
    <row r="449">
      <c r="A449" s="28" t="s">
        <v>443</v>
      </c>
      <c r="B449" s="44">
        <v>23300.0</v>
      </c>
      <c r="C449" s="93">
        <f t="shared" si="16"/>
        <v>25630</v>
      </c>
      <c r="D449" s="94"/>
      <c r="E449" s="76"/>
      <c r="F449" s="6"/>
      <c r="G449" s="20"/>
      <c r="H449" s="20"/>
      <c r="I449" s="2"/>
      <c r="J449" s="15"/>
      <c r="K449" s="15"/>
      <c r="M449" s="15"/>
      <c r="N449" s="15"/>
    </row>
    <row r="450">
      <c r="A450" s="47" t="s">
        <v>444</v>
      </c>
      <c r="B450" s="37"/>
      <c r="C450" s="93">
        <f t="shared" si="16"/>
        <v>0</v>
      </c>
      <c r="D450" s="94"/>
      <c r="E450" s="76"/>
      <c r="F450" s="6"/>
      <c r="G450" s="20"/>
      <c r="H450" s="20"/>
      <c r="I450" s="2"/>
      <c r="J450" s="15"/>
      <c r="K450" s="15"/>
      <c r="M450" s="15"/>
      <c r="N450" s="15"/>
    </row>
    <row r="451">
      <c r="A451" s="28" t="s">
        <v>445</v>
      </c>
      <c r="B451" s="44">
        <v>43900.0</v>
      </c>
      <c r="C451" s="93">
        <f t="shared" si="16"/>
        <v>48290</v>
      </c>
      <c r="D451" s="94"/>
      <c r="E451" s="76"/>
      <c r="F451" s="6"/>
      <c r="G451" s="20"/>
      <c r="H451" s="20"/>
      <c r="I451" s="2"/>
      <c r="J451" s="15"/>
      <c r="K451" s="15"/>
      <c r="M451" s="15"/>
      <c r="N451" s="15"/>
    </row>
    <row r="452">
      <c r="A452" s="47" t="s">
        <v>446</v>
      </c>
      <c r="B452" s="62"/>
      <c r="C452" s="93">
        <f t="shared" si="16"/>
        <v>0</v>
      </c>
      <c r="D452" s="94"/>
      <c r="E452" s="76"/>
      <c r="F452" s="6"/>
      <c r="I452" s="2"/>
      <c r="J452" s="2"/>
      <c r="K452" s="15"/>
      <c r="M452" s="2"/>
      <c r="N452" s="2"/>
    </row>
    <row r="453">
      <c r="A453" s="47" t="s">
        <v>447</v>
      </c>
      <c r="B453" s="44">
        <v>51900.0</v>
      </c>
      <c r="C453" s="93">
        <f t="shared" si="16"/>
        <v>57090</v>
      </c>
      <c r="D453" s="97"/>
      <c r="I453" s="2"/>
      <c r="J453" s="15"/>
      <c r="K453" s="15"/>
      <c r="M453" s="15"/>
      <c r="N453" s="15"/>
    </row>
    <row r="454">
      <c r="A454" s="28" t="s">
        <v>448</v>
      </c>
      <c r="B454" s="44">
        <v>60300.0</v>
      </c>
      <c r="C454" s="93">
        <f t="shared" si="16"/>
        <v>66330</v>
      </c>
      <c r="D454" s="97"/>
      <c r="G454" s="15"/>
      <c r="H454" s="15"/>
      <c r="I454" s="2"/>
      <c r="J454" s="15"/>
      <c r="K454" s="15"/>
      <c r="M454" s="15"/>
      <c r="N454" s="15"/>
    </row>
    <row r="455">
      <c r="A455" s="28" t="s">
        <v>449</v>
      </c>
      <c r="B455" s="44"/>
      <c r="C455" s="93">
        <f t="shared" si="16"/>
        <v>0</v>
      </c>
      <c r="D455" s="97"/>
      <c r="G455" s="24"/>
      <c r="H455" s="15"/>
      <c r="I455" s="2"/>
      <c r="J455" s="15"/>
      <c r="K455" s="15"/>
      <c r="M455" s="15"/>
      <c r="N455" s="15"/>
    </row>
    <row r="456">
      <c r="A456" s="28" t="s">
        <v>450</v>
      </c>
      <c r="B456" s="44">
        <v>34300.0</v>
      </c>
      <c r="C456" s="93">
        <f t="shared" si="16"/>
        <v>37730</v>
      </c>
      <c r="D456" s="97"/>
      <c r="I456" s="2"/>
      <c r="J456" s="2"/>
      <c r="K456" s="15"/>
      <c r="M456" s="2"/>
      <c r="N456" s="2"/>
    </row>
    <row r="457">
      <c r="A457" s="28" t="s">
        <v>451</v>
      </c>
      <c r="B457" s="44">
        <v>24200.0</v>
      </c>
      <c r="C457" s="93">
        <f t="shared" si="16"/>
        <v>26620</v>
      </c>
      <c r="D457" s="94"/>
      <c r="E457" s="76"/>
      <c r="F457" s="6"/>
      <c r="I457" s="2"/>
      <c r="J457" s="2"/>
      <c r="K457" s="15"/>
      <c r="M457" s="15"/>
      <c r="N457" s="15"/>
    </row>
    <row r="458">
      <c r="A458" s="28" t="s">
        <v>452</v>
      </c>
      <c r="B458" s="44">
        <v>36800.0</v>
      </c>
      <c r="C458" s="93">
        <f t="shared" si="16"/>
        <v>40480</v>
      </c>
      <c r="D458" s="94"/>
      <c r="E458" s="76"/>
      <c r="F458" s="6"/>
      <c r="G458" s="20"/>
      <c r="H458" s="15"/>
      <c r="I458" s="2"/>
      <c r="J458" s="15"/>
      <c r="K458" s="15"/>
      <c r="M458" s="15"/>
      <c r="N458" s="15"/>
    </row>
    <row r="459">
      <c r="A459" s="28" t="s">
        <v>453</v>
      </c>
      <c r="B459" s="44">
        <v>126700.0</v>
      </c>
      <c r="C459" s="93">
        <f t="shared" si="16"/>
        <v>139370</v>
      </c>
      <c r="D459" s="94"/>
      <c r="E459" s="76"/>
      <c r="F459" s="6"/>
      <c r="G459" s="15"/>
      <c r="H459" s="15"/>
      <c r="I459" s="2"/>
      <c r="J459" s="24"/>
      <c r="K459" s="15"/>
      <c r="M459" s="15"/>
      <c r="N459" s="15"/>
    </row>
    <row r="460">
      <c r="A460" s="47" t="s">
        <v>454</v>
      </c>
      <c r="B460" s="44">
        <v>126700.0</v>
      </c>
      <c r="C460" s="93">
        <f t="shared" si="16"/>
        <v>139370</v>
      </c>
      <c r="D460" s="94"/>
      <c r="E460" s="76"/>
      <c r="F460" s="6"/>
      <c r="G460" s="15"/>
      <c r="H460" s="15"/>
      <c r="I460" s="2"/>
      <c r="J460" s="24"/>
      <c r="K460" s="15"/>
      <c r="M460" s="2"/>
      <c r="N460" s="2"/>
    </row>
    <row r="461">
      <c r="A461" s="28" t="s">
        <v>455</v>
      </c>
      <c r="B461" s="44">
        <v>44800.0</v>
      </c>
      <c r="C461" s="93">
        <f t="shared" si="16"/>
        <v>49280</v>
      </c>
      <c r="D461" s="94"/>
      <c r="E461" s="77"/>
      <c r="F461" s="6"/>
      <c r="G461" s="15"/>
      <c r="H461" s="15"/>
      <c r="I461" s="2"/>
      <c r="J461" s="15"/>
      <c r="K461" s="15"/>
      <c r="M461" s="15"/>
      <c r="N461" s="15"/>
    </row>
    <row r="462">
      <c r="A462" s="28" t="s">
        <v>456</v>
      </c>
      <c r="B462" s="44">
        <v>38800.0</v>
      </c>
      <c r="C462" s="93">
        <f t="shared" si="16"/>
        <v>42680</v>
      </c>
      <c r="D462" s="94"/>
      <c r="E462" s="76"/>
      <c r="F462" s="6"/>
      <c r="G462" s="20"/>
      <c r="H462" s="15"/>
      <c r="I462" s="2"/>
      <c r="J462" s="15"/>
      <c r="K462" s="15"/>
      <c r="M462" s="15"/>
      <c r="N462" s="15"/>
    </row>
    <row r="463">
      <c r="A463" s="15" t="s">
        <v>457</v>
      </c>
      <c r="B463" s="44">
        <v>40300.0</v>
      </c>
      <c r="C463" s="93">
        <f t="shared" si="16"/>
        <v>44330</v>
      </c>
      <c r="D463" s="97"/>
      <c r="G463" s="20"/>
      <c r="H463" s="20"/>
      <c r="I463" s="2"/>
      <c r="J463" s="15"/>
      <c r="K463" s="15"/>
      <c r="M463" s="15"/>
      <c r="N463" s="15"/>
    </row>
    <row r="464">
      <c r="A464" s="28" t="s">
        <v>458</v>
      </c>
      <c r="B464" s="44">
        <v>34500.0</v>
      </c>
      <c r="C464" s="93">
        <f t="shared" si="16"/>
        <v>37950</v>
      </c>
      <c r="D464" s="97"/>
      <c r="G464" s="35"/>
      <c r="H464" s="35"/>
      <c r="I464" s="65"/>
      <c r="J464" s="15"/>
      <c r="K464" s="15"/>
      <c r="M464" s="2"/>
      <c r="N464" s="2"/>
    </row>
    <row r="465">
      <c r="A465" s="28" t="s">
        <v>459</v>
      </c>
      <c r="B465" s="44">
        <v>31000.0</v>
      </c>
      <c r="C465" s="93">
        <f t="shared" si="16"/>
        <v>34100</v>
      </c>
      <c r="D465" s="97"/>
      <c r="G465" s="15"/>
      <c r="H465" s="15"/>
      <c r="I465" s="2"/>
      <c r="J465" s="15"/>
      <c r="K465" s="15"/>
      <c r="M465" s="15"/>
      <c r="N465" s="15"/>
    </row>
    <row r="466">
      <c r="A466" s="20" t="s">
        <v>460</v>
      </c>
      <c r="B466" s="44">
        <v>31000.0</v>
      </c>
      <c r="C466" s="93">
        <f t="shared" si="16"/>
        <v>34100</v>
      </c>
      <c r="D466" s="97"/>
      <c r="G466" s="20"/>
      <c r="H466" s="20"/>
      <c r="I466" s="2"/>
      <c r="J466" s="2"/>
      <c r="K466" s="15"/>
      <c r="M466" s="2"/>
      <c r="N466" s="2"/>
    </row>
    <row r="467">
      <c r="A467" s="28" t="s">
        <v>461</v>
      </c>
      <c r="B467" s="44">
        <v>47200.0</v>
      </c>
      <c r="C467" s="93">
        <f t="shared" si="16"/>
        <v>51920</v>
      </c>
      <c r="D467" s="97"/>
      <c r="G467" s="15"/>
      <c r="H467" s="15"/>
      <c r="I467" s="2"/>
      <c r="J467" s="15"/>
      <c r="K467" s="15"/>
      <c r="M467" s="15"/>
      <c r="N467" s="15"/>
    </row>
    <row r="468">
      <c r="A468" s="28" t="s">
        <v>462</v>
      </c>
      <c r="B468" s="44">
        <v>41500.0</v>
      </c>
      <c r="C468" s="93">
        <f t="shared" si="16"/>
        <v>45650</v>
      </c>
      <c r="D468" s="97"/>
      <c r="G468" s="20"/>
      <c r="H468" s="20"/>
      <c r="I468" s="2"/>
      <c r="J468" s="15"/>
      <c r="K468" s="15"/>
      <c r="M468" s="15"/>
      <c r="N468" s="15"/>
    </row>
    <row r="469">
      <c r="A469" s="28" t="s">
        <v>463</v>
      </c>
      <c r="B469" s="44">
        <v>28800.0</v>
      </c>
      <c r="C469" s="93">
        <f t="shared" si="16"/>
        <v>31680</v>
      </c>
      <c r="D469" s="97"/>
      <c r="G469" s="15"/>
      <c r="H469" s="15"/>
      <c r="I469" s="2"/>
      <c r="J469" s="24"/>
      <c r="K469" s="15"/>
      <c r="M469" s="2"/>
      <c r="N469" s="2"/>
    </row>
    <row r="470">
      <c r="A470" s="28" t="s">
        <v>464</v>
      </c>
      <c r="B470" s="44">
        <v>53600.0</v>
      </c>
      <c r="C470" s="93">
        <f t="shared" si="16"/>
        <v>58960</v>
      </c>
      <c r="D470" s="97"/>
      <c r="G470" s="15"/>
      <c r="H470" s="20"/>
      <c r="I470" s="2"/>
      <c r="J470" s="15"/>
      <c r="K470" s="15"/>
      <c r="M470" s="15"/>
      <c r="N470" s="15"/>
    </row>
    <row r="471">
      <c r="A471" s="28" t="s">
        <v>465</v>
      </c>
      <c r="B471" s="44">
        <v>41200.0</v>
      </c>
      <c r="C471" s="93">
        <f t="shared" si="16"/>
        <v>45320</v>
      </c>
      <c r="D471" s="94"/>
      <c r="E471" s="76"/>
      <c r="F471" s="6"/>
      <c r="G471" s="24"/>
      <c r="H471" s="20"/>
      <c r="I471" s="2"/>
      <c r="J471" s="15"/>
      <c r="K471" s="15"/>
      <c r="M471" s="15"/>
      <c r="N471" s="15"/>
    </row>
    <row r="472">
      <c r="A472" s="28" t="s">
        <v>466</v>
      </c>
      <c r="B472" s="44">
        <v>81800.0</v>
      </c>
      <c r="C472" s="93">
        <f t="shared" si="16"/>
        <v>89980</v>
      </c>
      <c r="D472" s="94"/>
      <c r="E472" s="76"/>
      <c r="F472" s="6"/>
      <c r="I472" s="2"/>
      <c r="J472" s="22"/>
      <c r="K472" s="15"/>
      <c r="M472" s="15"/>
      <c r="N472" s="15"/>
    </row>
    <row r="473">
      <c r="A473" s="28" t="s">
        <v>467</v>
      </c>
      <c r="B473" s="44">
        <v>45700.0</v>
      </c>
      <c r="C473" s="93">
        <f t="shared" si="16"/>
        <v>50270</v>
      </c>
      <c r="D473" s="94"/>
      <c r="E473" s="76"/>
      <c r="F473" s="6"/>
      <c r="G473" s="20"/>
      <c r="H473" s="20"/>
      <c r="I473" s="2"/>
      <c r="J473" s="15"/>
      <c r="K473" s="15"/>
      <c r="M473" s="15"/>
      <c r="N473" s="15"/>
    </row>
    <row r="474">
      <c r="A474" s="28" t="s">
        <v>468</v>
      </c>
      <c r="B474" s="44">
        <v>223400.0</v>
      </c>
      <c r="C474" s="93">
        <f t="shared" si="16"/>
        <v>245740</v>
      </c>
      <c r="D474" s="94"/>
      <c r="E474" s="76"/>
      <c r="F474" s="6"/>
      <c r="G474" s="20"/>
      <c r="H474" s="35"/>
      <c r="I474" s="2"/>
      <c r="J474" s="15"/>
      <c r="K474" s="15"/>
      <c r="M474" s="2"/>
      <c r="N474" s="2"/>
    </row>
    <row r="475">
      <c r="A475" s="47" t="s">
        <v>469</v>
      </c>
      <c r="B475" s="44">
        <v>138000.0</v>
      </c>
      <c r="C475" s="93">
        <f t="shared" si="16"/>
        <v>151800</v>
      </c>
      <c r="D475" s="94"/>
      <c r="E475" s="76"/>
      <c r="F475" s="6"/>
      <c r="G475" s="20"/>
      <c r="H475" s="35"/>
      <c r="I475" s="2"/>
      <c r="J475" s="15"/>
      <c r="K475" s="15"/>
      <c r="M475" s="2"/>
      <c r="N475" s="2"/>
    </row>
    <row r="476">
      <c r="A476" s="28" t="s">
        <v>470</v>
      </c>
      <c r="B476" s="44">
        <v>55000.0</v>
      </c>
      <c r="C476" s="93">
        <f t="shared" si="16"/>
        <v>60500</v>
      </c>
      <c r="D476" s="94"/>
      <c r="E476" s="76"/>
      <c r="F476" s="6"/>
      <c r="G476" s="24"/>
      <c r="I476" s="2"/>
      <c r="J476" s="15"/>
      <c r="K476" s="15"/>
      <c r="M476" s="15"/>
      <c r="N476" s="15"/>
    </row>
    <row r="477">
      <c r="A477" s="28" t="s">
        <v>471</v>
      </c>
      <c r="B477" s="44">
        <v>127600.0</v>
      </c>
      <c r="C477" s="93">
        <f t="shared" si="16"/>
        <v>140360</v>
      </c>
      <c r="D477" s="94"/>
      <c r="E477" s="76"/>
      <c r="F477" s="6"/>
      <c r="H477" s="15"/>
      <c r="I477" s="2"/>
      <c r="J477" s="15"/>
      <c r="K477" s="15"/>
      <c r="M477" s="15"/>
      <c r="N477" s="15"/>
    </row>
    <row r="478">
      <c r="A478" s="28" t="s">
        <v>472</v>
      </c>
      <c r="B478" s="44">
        <v>50400.0</v>
      </c>
      <c r="C478" s="93">
        <f t="shared" si="16"/>
        <v>55440</v>
      </c>
      <c r="D478" s="94"/>
      <c r="E478" s="76"/>
      <c r="F478" s="6"/>
      <c r="H478" s="15"/>
      <c r="I478" s="2"/>
      <c r="J478" s="15"/>
      <c r="K478" s="15"/>
      <c r="M478" s="15"/>
      <c r="N478" s="15"/>
    </row>
    <row r="479">
      <c r="A479" s="28" t="s">
        <v>473</v>
      </c>
      <c r="B479" s="44">
        <v>29700.0</v>
      </c>
      <c r="C479" s="93">
        <f t="shared" si="16"/>
        <v>32670</v>
      </c>
      <c r="D479" s="94"/>
      <c r="E479" s="76"/>
      <c r="F479" s="6"/>
      <c r="H479" s="15"/>
      <c r="I479" s="2"/>
      <c r="J479" s="24"/>
      <c r="K479" s="15"/>
      <c r="M479" s="2"/>
      <c r="N479" s="2"/>
    </row>
    <row r="480">
      <c r="A480" s="103" t="s">
        <v>474</v>
      </c>
      <c r="B480" s="104">
        <v>38600.0</v>
      </c>
      <c r="C480" s="105">
        <f t="shared" si="16"/>
        <v>42460</v>
      </c>
      <c r="D480" s="96"/>
      <c r="E480" s="76"/>
      <c r="F480" s="6"/>
      <c r="G480" s="2"/>
      <c r="H480" s="35"/>
      <c r="I480" s="2"/>
      <c r="J480" s="2"/>
      <c r="K480" s="15"/>
      <c r="M480" s="2"/>
      <c r="N480" s="2"/>
    </row>
    <row r="481">
      <c r="A481" s="106" t="s">
        <v>475</v>
      </c>
      <c r="B481" s="104">
        <v>23000.0</v>
      </c>
      <c r="C481" s="105">
        <f t="shared" si="16"/>
        <v>25300</v>
      </c>
      <c r="D481" s="96"/>
      <c r="E481" s="76"/>
      <c r="F481" s="6"/>
      <c r="G481" s="35"/>
      <c r="H481" s="35"/>
      <c r="I481" s="2"/>
      <c r="J481" s="15"/>
      <c r="K481" s="15"/>
      <c r="M481" s="2"/>
      <c r="N481" s="2"/>
    </row>
    <row r="482">
      <c r="A482" s="106" t="s">
        <v>476</v>
      </c>
      <c r="B482" s="104">
        <v>37500.0</v>
      </c>
      <c r="C482" s="105">
        <f t="shared" si="16"/>
        <v>41250</v>
      </c>
      <c r="D482" s="96"/>
      <c r="E482" s="76"/>
      <c r="F482" s="6"/>
      <c r="G482" s="35"/>
      <c r="H482" s="35"/>
      <c r="I482" s="2"/>
      <c r="J482" s="15"/>
      <c r="K482" s="15"/>
      <c r="M482" s="2"/>
      <c r="N482" s="2"/>
    </row>
    <row r="483">
      <c r="A483" s="28" t="s">
        <v>477</v>
      </c>
      <c r="B483" s="44">
        <v>37500.0</v>
      </c>
      <c r="C483" s="93">
        <f t="shared" si="16"/>
        <v>41250</v>
      </c>
      <c r="D483" s="97"/>
      <c r="F483" s="6"/>
      <c r="G483" s="2"/>
      <c r="H483" s="2"/>
      <c r="I483" s="2"/>
      <c r="J483" s="15"/>
      <c r="K483" s="15"/>
      <c r="M483" s="15"/>
      <c r="N483" s="15"/>
    </row>
    <row r="484">
      <c r="A484" s="28" t="s">
        <v>478</v>
      </c>
      <c r="B484" s="44">
        <v>26500.0</v>
      </c>
      <c r="C484" s="93">
        <f t="shared" si="16"/>
        <v>29150</v>
      </c>
      <c r="D484" s="97"/>
      <c r="F484" s="6"/>
      <c r="G484" s="2"/>
      <c r="H484" s="2"/>
      <c r="I484" s="2"/>
      <c r="J484" s="15"/>
      <c r="K484" s="15"/>
      <c r="M484" s="15"/>
      <c r="N484" s="15"/>
    </row>
    <row r="485">
      <c r="A485" s="28" t="s">
        <v>479</v>
      </c>
      <c r="B485" s="107">
        <v>32000.0</v>
      </c>
      <c r="C485" s="93">
        <f t="shared" si="16"/>
        <v>35200</v>
      </c>
      <c r="D485" s="97"/>
      <c r="F485" s="6"/>
      <c r="G485" s="20"/>
      <c r="H485" s="15"/>
      <c r="I485" s="2"/>
      <c r="J485" s="15"/>
      <c r="K485" s="15"/>
      <c r="M485" s="15"/>
      <c r="N485" s="15"/>
    </row>
    <row r="486">
      <c r="A486" s="47" t="s">
        <v>480</v>
      </c>
      <c r="B486" s="107">
        <v>38600.0</v>
      </c>
      <c r="C486" s="93">
        <f t="shared" si="16"/>
        <v>42460</v>
      </c>
      <c r="D486" s="97"/>
      <c r="F486" s="6"/>
      <c r="G486" s="2"/>
      <c r="H486" s="2"/>
      <c r="I486" s="2"/>
      <c r="J486" s="15"/>
      <c r="K486" s="15"/>
      <c r="M486" s="15"/>
      <c r="N486" s="15"/>
    </row>
    <row r="487">
      <c r="A487" s="15" t="s">
        <v>481</v>
      </c>
      <c r="B487" s="107">
        <v>38600.0</v>
      </c>
      <c r="C487" s="93">
        <f t="shared" si="16"/>
        <v>42460</v>
      </c>
      <c r="D487" s="97"/>
      <c r="F487" s="6"/>
      <c r="G487" s="2"/>
      <c r="H487" s="2"/>
      <c r="I487" s="2"/>
      <c r="J487" s="15"/>
      <c r="K487" s="15"/>
      <c r="M487" s="15"/>
      <c r="N487" s="15"/>
    </row>
    <row r="488">
      <c r="A488" s="47" t="s">
        <v>482</v>
      </c>
      <c r="B488" s="107">
        <v>51300.0</v>
      </c>
      <c r="C488" s="93">
        <f t="shared" si="16"/>
        <v>56430</v>
      </c>
      <c r="D488" s="95"/>
      <c r="E488" s="20"/>
      <c r="F488" s="6"/>
      <c r="G488" s="24"/>
      <c r="H488" s="15"/>
      <c r="I488" s="2"/>
      <c r="J488" s="15"/>
      <c r="K488" s="15"/>
      <c r="M488" s="15"/>
      <c r="N488" s="15"/>
    </row>
    <row r="489">
      <c r="A489" s="28" t="s">
        <v>483</v>
      </c>
      <c r="B489" s="107">
        <v>46300.0</v>
      </c>
      <c r="C489" s="93">
        <f t="shared" si="16"/>
        <v>50930</v>
      </c>
      <c r="D489" s="95"/>
      <c r="E489" s="20"/>
      <c r="F489" s="6"/>
      <c r="G489" s="24"/>
      <c r="H489" s="15"/>
      <c r="I489" s="2"/>
      <c r="J489" s="15"/>
      <c r="K489" s="15"/>
      <c r="M489" s="15"/>
      <c r="N489" s="15"/>
    </row>
    <row r="490">
      <c r="A490" s="47" t="s">
        <v>484</v>
      </c>
      <c r="B490" s="107">
        <v>45600.0</v>
      </c>
      <c r="C490" s="93">
        <f t="shared" si="16"/>
        <v>50160</v>
      </c>
      <c r="D490" s="108"/>
      <c r="E490" s="20"/>
      <c r="F490" s="6"/>
      <c r="G490" s="15"/>
      <c r="H490" s="15"/>
      <c r="I490" s="2"/>
      <c r="J490" s="15"/>
      <c r="K490" s="15"/>
      <c r="M490" s="15"/>
      <c r="N490" s="15"/>
    </row>
    <row r="491">
      <c r="A491" s="28" t="s">
        <v>485</v>
      </c>
      <c r="B491" s="107">
        <v>28700.0</v>
      </c>
      <c r="C491" s="93">
        <f t="shared" si="16"/>
        <v>31570</v>
      </c>
      <c r="D491" s="95"/>
      <c r="E491" s="20"/>
      <c r="F491" s="6"/>
      <c r="G491" s="15"/>
      <c r="H491" s="15"/>
      <c r="I491" s="2"/>
      <c r="J491" s="15"/>
      <c r="K491" s="15"/>
      <c r="M491" s="15"/>
      <c r="N491" s="15"/>
    </row>
    <row r="492">
      <c r="A492" s="47" t="s">
        <v>486</v>
      </c>
      <c r="B492" s="44">
        <v>45600.0</v>
      </c>
      <c r="C492" s="93">
        <f t="shared" si="16"/>
        <v>50160</v>
      </c>
      <c r="D492" s="108"/>
      <c r="E492" s="15"/>
      <c r="F492" s="6"/>
      <c r="G492" s="24"/>
      <c r="H492" s="15"/>
      <c r="J492" s="15"/>
      <c r="K492" s="15"/>
      <c r="M492" s="15"/>
      <c r="N492" s="15"/>
    </row>
    <row r="493">
      <c r="A493" s="47" t="s">
        <v>487</v>
      </c>
      <c r="B493" s="44">
        <v>63000.0</v>
      </c>
      <c r="C493" s="93">
        <f t="shared" si="16"/>
        <v>69300</v>
      </c>
      <c r="D493" s="108"/>
      <c r="F493" s="6"/>
      <c r="G493" s="24"/>
      <c r="H493" s="15"/>
      <c r="J493" s="15"/>
      <c r="K493" s="15"/>
      <c r="M493" s="15"/>
      <c r="N493" s="15"/>
    </row>
    <row r="494">
      <c r="A494" s="47" t="s">
        <v>488</v>
      </c>
      <c r="B494" s="44">
        <v>47800.0</v>
      </c>
      <c r="C494" s="93">
        <f t="shared" si="16"/>
        <v>52580</v>
      </c>
      <c r="D494" s="108"/>
      <c r="F494" s="6"/>
      <c r="G494" s="24"/>
      <c r="H494" s="15"/>
      <c r="J494" s="15"/>
      <c r="K494" s="15"/>
      <c r="M494" s="15"/>
      <c r="N494" s="15"/>
    </row>
    <row r="495">
      <c r="A495" s="47" t="s">
        <v>489</v>
      </c>
      <c r="B495" s="107">
        <v>51300.0</v>
      </c>
      <c r="C495" s="93">
        <f t="shared" si="16"/>
        <v>56430</v>
      </c>
      <c r="D495" s="95"/>
      <c r="E495" s="20"/>
      <c r="F495" s="6"/>
      <c r="G495" s="2"/>
      <c r="H495" s="2"/>
      <c r="I495" s="2"/>
      <c r="M495" s="2"/>
      <c r="N495" s="2"/>
    </row>
    <row r="496">
      <c r="A496" s="28" t="s">
        <v>490</v>
      </c>
      <c r="B496" s="107">
        <v>57500.0</v>
      </c>
      <c r="C496" s="93">
        <f t="shared" si="16"/>
        <v>63250</v>
      </c>
      <c r="D496" s="95"/>
      <c r="E496" s="20"/>
      <c r="F496" s="6"/>
      <c r="G496" s="2"/>
      <c r="H496" s="2"/>
      <c r="I496" s="2"/>
      <c r="M496" s="2"/>
      <c r="N496" s="2"/>
    </row>
    <row r="497">
      <c r="A497" s="28" t="s">
        <v>491</v>
      </c>
      <c r="B497" s="107">
        <v>56400.0</v>
      </c>
      <c r="C497" s="93">
        <f t="shared" si="16"/>
        <v>62040</v>
      </c>
      <c r="D497" s="95"/>
      <c r="E497" s="20"/>
      <c r="F497" s="6"/>
      <c r="G497" s="24"/>
      <c r="H497" s="15"/>
      <c r="I497" s="2"/>
      <c r="J497" s="15"/>
      <c r="L497" s="2"/>
      <c r="M497" s="15"/>
      <c r="N497" s="15"/>
    </row>
    <row r="498">
      <c r="A498" s="47" t="s">
        <v>492</v>
      </c>
      <c r="B498" s="44">
        <v>56800.0</v>
      </c>
      <c r="C498" s="93">
        <f t="shared" si="16"/>
        <v>62480</v>
      </c>
      <c r="D498" s="108"/>
      <c r="E498" s="15"/>
      <c r="F498" s="6"/>
      <c r="G498" s="24"/>
      <c r="H498" s="15"/>
      <c r="I498" s="2"/>
      <c r="J498" s="24"/>
      <c r="K498" s="15"/>
      <c r="L498" s="2"/>
      <c r="M498" s="15"/>
      <c r="N498" s="15"/>
    </row>
    <row r="499">
      <c r="A499" s="15" t="s">
        <v>493</v>
      </c>
      <c r="B499" s="44">
        <v>57900.0</v>
      </c>
      <c r="C499" s="93">
        <f t="shared" si="16"/>
        <v>63690</v>
      </c>
      <c r="D499" s="97"/>
      <c r="E499" s="2"/>
      <c r="F499" s="6"/>
      <c r="I499" s="2"/>
      <c r="J499" s="15"/>
      <c r="K499" s="15"/>
      <c r="L499" s="2"/>
      <c r="M499" s="2"/>
      <c r="N499" s="2"/>
    </row>
    <row r="500">
      <c r="A500" s="15" t="s">
        <v>494</v>
      </c>
      <c r="B500" s="44">
        <v>44800.0</v>
      </c>
      <c r="C500" s="93">
        <f t="shared" si="16"/>
        <v>49280</v>
      </c>
      <c r="D500" s="97"/>
      <c r="E500" s="2"/>
      <c r="F500" s="98"/>
      <c r="G500" s="2"/>
      <c r="H500" s="2"/>
      <c r="I500" s="2"/>
      <c r="J500" s="2"/>
      <c r="K500" s="2"/>
      <c r="L500" s="2"/>
      <c r="M500" s="2"/>
      <c r="N500" s="2"/>
    </row>
    <row r="501">
      <c r="A501" s="15" t="s">
        <v>495</v>
      </c>
      <c r="B501" s="44">
        <v>66300.0</v>
      </c>
      <c r="C501" s="93">
        <f t="shared" si="16"/>
        <v>72930</v>
      </c>
      <c r="D501" s="97"/>
      <c r="E501" s="2"/>
      <c r="F501" s="98"/>
      <c r="G501" s="2"/>
      <c r="H501" s="2"/>
      <c r="I501" s="2"/>
      <c r="J501" s="2"/>
      <c r="K501" s="2"/>
      <c r="L501" s="2"/>
      <c r="M501" s="2"/>
      <c r="N501" s="2"/>
    </row>
    <row r="502">
      <c r="A502" s="15" t="s">
        <v>496</v>
      </c>
      <c r="B502" s="44">
        <v>96400.0</v>
      </c>
      <c r="C502" s="93">
        <f t="shared" si="16"/>
        <v>106040</v>
      </c>
      <c r="D502" s="97"/>
      <c r="E502" s="2"/>
      <c r="F502" s="98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9"/>
      <c r="D503" s="109"/>
      <c r="E503" s="2"/>
      <c r="F503" s="98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9"/>
      <c r="D504" s="109"/>
      <c r="E504" s="2"/>
      <c r="F504" s="98"/>
      <c r="G504" s="2"/>
      <c r="H504" s="2"/>
      <c r="I504" s="2"/>
      <c r="J504" s="2"/>
      <c r="K504" s="2"/>
      <c r="L504" s="2"/>
      <c r="M504" s="2"/>
      <c r="N504" s="2"/>
    </row>
    <row r="505">
      <c r="A505" s="44" t="s">
        <v>497</v>
      </c>
      <c r="B505" s="44" t="s">
        <v>145</v>
      </c>
      <c r="C505" s="91" t="s">
        <v>6</v>
      </c>
      <c r="D505" s="94"/>
      <c r="E505" s="76"/>
      <c r="F505" s="98"/>
      <c r="G505" s="2"/>
      <c r="H505" s="2"/>
      <c r="I505" s="2"/>
      <c r="J505" s="2"/>
      <c r="K505" s="2"/>
      <c r="L505" s="2"/>
      <c r="M505" s="15"/>
      <c r="N505" s="15"/>
    </row>
    <row r="506">
      <c r="A506" s="110" t="s">
        <v>498</v>
      </c>
      <c r="B506" s="44">
        <v>48300.0</v>
      </c>
      <c r="C506" s="93">
        <f t="shared" ref="C506:C530" si="17">(B506*1.1)</f>
        <v>53130</v>
      </c>
      <c r="D506" s="94"/>
      <c r="E506" s="98"/>
      <c r="F506" s="98"/>
      <c r="G506" s="2"/>
      <c r="H506" s="2"/>
      <c r="I506" s="2"/>
      <c r="J506" s="2"/>
      <c r="K506" s="2"/>
      <c r="L506" s="2"/>
      <c r="M506" s="15"/>
      <c r="N506" s="15"/>
    </row>
    <row r="507">
      <c r="A507" s="110" t="s">
        <v>499</v>
      </c>
      <c r="B507" s="44">
        <v>66700.0</v>
      </c>
      <c r="C507" s="93">
        <f t="shared" si="17"/>
        <v>73370</v>
      </c>
      <c r="D507" s="94"/>
      <c r="E507" s="98"/>
      <c r="F507" s="98"/>
      <c r="G507" s="20"/>
      <c r="H507" s="20"/>
      <c r="I507" s="2"/>
      <c r="J507" s="2"/>
      <c r="K507" s="2"/>
      <c r="L507" s="2"/>
    </row>
    <row r="508">
      <c r="A508" s="110" t="s">
        <v>500</v>
      </c>
      <c r="B508" s="44">
        <v>51300.0</v>
      </c>
      <c r="C508" s="93">
        <f t="shared" si="17"/>
        <v>56430</v>
      </c>
      <c r="D508" s="94"/>
      <c r="E508" s="98"/>
      <c r="F508" s="98"/>
      <c r="G508" s="20"/>
      <c r="H508" s="20"/>
      <c r="I508" s="2"/>
      <c r="J508" s="2"/>
      <c r="K508" s="2"/>
      <c r="L508" s="2"/>
    </row>
    <row r="509">
      <c r="A509" s="110" t="s">
        <v>501</v>
      </c>
      <c r="B509" s="44">
        <v>57500.0</v>
      </c>
      <c r="C509" s="93">
        <f t="shared" si="17"/>
        <v>63250</v>
      </c>
      <c r="D509" s="94"/>
      <c r="E509" s="98"/>
      <c r="F509" s="98"/>
      <c r="G509" s="4"/>
      <c r="H509" s="4"/>
      <c r="I509" s="2"/>
      <c r="J509" s="4"/>
      <c r="K509" s="2"/>
      <c r="L509" s="2"/>
      <c r="M509" s="4"/>
      <c r="N509" s="4"/>
    </row>
    <row r="510">
      <c r="A510" s="110" t="s">
        <v>502</v>
      </c>
      <c r="B510" s="44">
        <v>71900.0</v>
      </c>
      <c r="C510" s="93">
        <f t="shared" si="17"/>
        <v>79090</v>
      </c>
      <c r="D510" s="94"/>
      <c r="E510" s="98"/>
      <c r="F510" s="98"/>
      <c r="I510" s="2"/>
      <c r="L510" s="2"/>
    </row>
    <row r="511">
      <c r="A511" s="110" t="s">
        <v>503</v>
      </c>
      <c r="B511" s="44">
        <v>57500.0</v>
      </c>
      <c r="C511" s="93">
        <f t="shared" si="17"/>
        <v>63250</v>
      </c>
      <c r="D511" s="94"/>
      <c r="E511" s="98"/>
      <c r="F511" s="98"/>
      <c r="G511" s="15"/>
      <c r="I511" s="2"/>
      <c r="J511" s="15"/>
      <c r="K511" s="15"/>
      <c r="L511" s="2"/>
    </row>
    <row r="512">
      <c r="A512" s="110" t="s">
        <v>504</v>
      </c>
      <c r="B512" s="44">
        <v>87600.0</v>
      </c>
      <c r="C512" s="93">
        <f t="shared" si="17"/>
        <v>96360</v>
      </c>
      <c r="D512" s="94"/>
      <c r="E512" s="98"/>
      <c r="F512" s="98"/>
      <c r="G512" s="15"/>
      <c r="I512" s="2"/>
      <c r="J512" s="2"/>
      <c r="K512" s="2"/>
    </row>
    <row r="513">
      <c r="A513" s="110" t="s">
        <v>505</v>
      </c>
      <c r="B513" s="44">
        <v>95900.0</v>
      </c>
      <c r="C513" s="93">
        <f t="shared" si="17"/>
        <v>105490</v>
      </c>
      <c r="D513" s="94"/>
      <c r="E513" s="98"/>
      <c r="F513" s="98"/>
      <c r="G513" s="15"/>
      <c r="I513" s="2"/>
      <c r="N513" s="2"/>
    </row>
    <row r="514">
      <c r="A514" s="111" t="s">
        <v>506</v>
      </c>
      <c r="B514" s="44">
        <v>87600.0</v>
      </c>
      <c r="C514" s="93">
        <f t="shared" si="17"/>
        <v>96360</v>
      </c>
      <c r="D514" s="94"/>
      <c r="E514" s="98"/>
      <c r="F514" s="98"/>
      <c r="G514" s="2"/>
      <c r="I514" s="2"/>
      <c r="N514" s="2"/>
    </row>
    <row r="515">
      <c r="A515" s="110" t="s">
        <v>507</v>
      </c>
      <c r="B515" s="44">
        <v>98900.0</v>
      </c>
      <c r="C515" s="93">
        <f t="shared" si="17"/>
        <v>108790</v>
      </c>
      <c r="D515" s="94"/>
      <c r="E515" s="98"/>
      <c r="F515" s="98"/>
      <c r="G515" s="2"/>
      <c r="I515" s="2"/>
      <c r="N515" s="2"/>
    </row>
    <row r="516">
      <c r="A516" s="110" t="s">
        <v>508</v>
      </c>
      <c r="B516" s="44">
        <v>109900.0</v>
      </c>
      <c r="C516" s="93">
        <f t="shared" si="17"/>
        <v>120890</v>
      </c>
      <c r="D516" s="94"/>
      <c r="E516" s="98"/>
      <c r="F516" s="98"/>
      <c r="G516" s="2"/>
      <c r="I516" s="2"/>
      <c r="N516" s="2"/>
    </row>
    <row r="517">
      <c r="A517" s="110" t="s">
        <v>509</v>
      </c>
      <c r="B517" s="44">
        <v>80900.0</v>
      </c>
      <c r="C517" s="93">
        <f t="shared" si="17"/>
        <v>88990</v>
      </c>
      <c r="D517" s="94"/>
      <c r="E517" s="98"/>
      <c r="F517" s="98"/>
      <c r="G517" s="2"/>
      <c r="I517" s="2"/>
      <c r="N517" s="2"/>
    </row>
    <row r="518">
      <c r="A518" s="110" t="s">
        <v>510</v>
      </c>
      <c r="B518" s="44">
        <v>80900.0</v>
      </c>
      <c r="C518" s="93">
        <f t="shared" si="17"/>
        <v>88990</v>
      </c>
      <c r="D518" s="94"/>
      <c r="E518" s="98"/>
      <c r="F518" s="98"/>
      <c r="G518" s="2"/>
      <c r="I518" s="2"/>
      <c r="N518" s="2"/>
    </row>
    <row r="519">
      <c r="A519" s="111" t="s">
        <v>511</v>
      </c>
      <c r="B519" s="107">
        <v>51300.0</v>
      </c>
      <c r="C519" s="93">
        <f t="shared" si="17"/>
        <v>56430</v>
      </c>
      <c r="D519" s="94"/>
      <c r="E519" s="98"/>
      <c r="F519" s="98"/>
      <c r="G519" s="2"/>
      <c r="I519" s="2"/>
      <c r="L519" s="2"/>
      <c r="N519" s="2"/>
    </row>
    <row r="520">
      <c r="A520" s="111" t="s">
        <v>512</v>
      </c>
      <c r="B520" s="107">
        <v>51300.0</v>
      </c>
      <c r="C520" s="93">
        <f t="shared" si="17"/>
        <v>56430</v>
      </c>
      <c r="D520" s="94"/>
      <c r="E520" s="98"/>
      <c r="F520" s="98"/>
      <c r="I520" s="2"/>
      <c r="L520" s="2"/>
    </row>
    <row r="521">
      <c r="A521" s="111" t="s">
        <v>513</v>
      </c>
      <c r="B521" s="107">
        <v>62300.0</v>
      </c>
      <c r="C521" s="93">
        <f t="shared" si="17"/>
        <v>68530</v>
      </c>
      <c r="D521" s="94"/>
      <c r="E521" s="98"/>
      <c r="F521" s="98"/>
      <c r="G521" s="28"/>
      <c r="I521" s="2"/>
      <c r="J521" s="4"/>
      <c r="K521" s="14"/>
      <c r="L521" s="2"/>
      <c r="M521" s="4"/>
      <c r="N521" s="4"/>
    </row>
    <row r="522">
      <c r="A522" s="112" t="s">
        <v>514</v>
      </c>
      <c r="B522" s="107">
        <v>87600.0</v>
      </c>
      <c r="C522" s="93">
        <f t="shared" si="17"/>
        <v>96360</v>
      </c>
      <c r="D522" s="94"/>
      <c r="E522" s="98"/>
      <c r="F522" s="98"/>
      <c r="G522" s="113"/>
      <c r="I522" s="2"/>
      <c r="J522" s="15"/>
      <c r="K522" s="15"/>
      <c r="L522" s="2"/>
    </row>
    <row r="523">
      <c r="A523" s="111" t="s">
        <v>515</v>
      </c>
      <c r="B523" s="107">
        <v>85900.0</v>
      </c>
      <c r="C523" s="93">
        <f t="shared" si="17"/>
        <v>94490</v>
      </c>
      <c r="D523" s="94"/>
      <c r="E523" s="98"/>
      <c r="F523" s="98"/>
      <c r="G523" s="113"/>
      <c r="H523" s="35"/>
      <c r="I523" s="2"/>
      <c r="J523" s="15"/>
      <c r="K523" s="15"/>
      <c r="L523" s="2"/>
    </row>
    <row r="524">
      <c r="A524" s="112" t="s">
        <v>516</v>
      </c>
      <c r="B524" s="107">
        <v>109900.0</v>
      </c>
      <c r="C524" s="93">
        <f t="shared" si="17"/>
        <v>120890</v>
      </c>
      <c r="D524" s="94"/>
      <c r="E524" s="98"/>
      <c r="F524" s="98"/>
      <c r="G524" s="28"/>
      <c r="H524" s="20"/>
      <c r="I524" s="2"/>
      <c r="J524" s="15"/>
      <c r="K524" s="15"/>
      <c r="L524" s="2"/>
    </row>
    <row r="525">
      <c r="A525" s="112" t="s">
        <v>517</v>
      </c>
      <c r="B525" s="107">
        <v>109900.0</v>
      </c>
      <c r="C525" s="93">
        <f t="shared" si="17"/>
        <v>120890</v>
      </c>
      <c r="D525" s="94"/>
      <c r="E525" s="98"/>
      <c r="F525" s="98"/>
      <c r="G525" s="28"/>
      <c r="H525" s="20"/>
      <c r="I525" s="2"/>
      <c r="J525" s="15"/>
      <c r="K525" s="15"/>
      <c r="L525" s="2"/>
    </row>
    <row r="526">
      <c r="A526" s="112" t="s">
        <v>518</v>
      </c>
      <c r="B526" s="107">
        <v>109900.0</v>
      </c>
      <c r="C526" s="93">
        <f t="shared" si="17"/>
        <v>120890</v>
      </c>
      <c r="D526" s="94"/>
      <c r="E526" s="98"/>
      <c r="F526" s="98"/>
      <c r="G526" s="28"/>
      <c r="H526" s="20"/>
      <c r="I526" s="2"/>
      <c r="J526" s="15"/>
      <c r="K526" s="15"/>
      <c r="L526" s="2"/>
    </row>
    <row r="527">
      <c r="A527" s="112" t="s">
        <v>519</v>
      </c>
      <c r="B527" s="107">
        <v>109900.0</v>
      </c>
      <c r="C527" s="93">
        <f t="shared" si="17"/>
        <v>120890</v>
      </c>
      <c r="D527" s="94"/>
      <c r="E527" s="98"/>
      <c r="F527" s="98"/>
      <c r="G527" s="28"/>
      <c r="H527" s="20"/>
      <c r="I527" s="2"/>
      <c r="J527" s="15"/>
      <c r="K527" s="2"/>
      <c r="L527" s="2"/>
    </row>
    <row r="528">
      <c r="A528" s="111" t="s">
        <v>520</v>
      </c>
      <c r="B528" s="107">
        <v>174500.0</v>
      </c>
      <c r="C528" s="93">
        <f t="shared" si="17"/>
        <v>191950</v>
      </c>
      <c r="D528" s="94"/>
      <c r="E528" s="98"/>
      <c r="F528" s="98"/>
      <c r="I528" s="2"/>
      <c r="J528" s="4"/>
      <c r="K528" s="2"/>
      <c r="L528" s="2"/>
    </row>
    <row r="529">
      <c r="A529" s="110" t="s">
        <v>521</v>
      </c>
      <c r="B529" s="107">
        <v>121900.0</v>
      </c>
      <c r="C529" s="93">
        <f t="shared" si="17"/>
        <v>134090</v>
      </c>
      <c r="D529" s="94"/>
      <c r="E529" s="98"/>
      <c r="F529" s="98"/>
      <c r="I529" s="2"/>
      <c r="L529" s="2"/>
    </row>
    <row r="530">
      <c r="A530" s="110" t="s">
        <v>522</v>
      </c>
      <c r="B530" s="107">
        <v>123300.0</v>
      </c>
      <c r="C530" s="93">
        <f t="shared" si="17"/>
        <v>135630</v>
      </c>
      <c r="D530" s="94"/>
      <c r="E530" s="98"/>
      <c r="F530" s="98"/>
      <c r="G530" s="28"/>
      <c r="H530" s="20"/>
      <c r="I530" s="2"/>
      <c r="J530" s="15"/>
      <c r="K530" s="2"/>
      <c r="L530" s="2"/>
    </row>
    <row r="531">
      <c r="A531" s="112"/>
      <c r="B531" s="114"/>
      <c r="C531" s="10"/>
      <c r="D531" s="115"/>
      <c r="E531" s="2"/>
      <c r="F531" s="6"/>
      <c r="G531" s="28"/>
      <c r="H531" s="20"/>
      <c r="I531" s="2"/>
      <c r="J531" s="15"/>
      <c r="K531" s="15"/>
      <c r="L531" s="2"/>
    </row>
    <row r="532">
      <c r="A532" s="112"/>
      <c r="B532" s="114"/>
      <c r="C532" s="10"/>
      <c r="D532" s="109"/>
      <c r="E532" s="2"/>
      <c r="F532" s="116"/>
      <c r="G532" s="28"/>
      <c r="H532" s="20"/>
      <c r="I532" s="2"/>
      <c r="L532" s="2"/>
    </row>
    <row r="533">
      <c r="A533" s="117" t="s">
        <v>523</v>
      </c>
      <c r="B533" s="107" t="s">
        <v>145</v>
      </c>
      <c r="C533" s="91" t="s">
        <v>6</v>
      </c>
      <c r="D533" s="115"/>
      <c r="E533" s="2"/>
      <c r="F533" s="6"/>
      <c r="I533" s="2"/>
      <c r="J533" s="2"/>
      <c r="K533" s="2"/>
      <c r="L533" s="2"/>
    </row>
    <row r="534">
      <c r="A534" s="118" t="s">
        <v>524</v>
      </c>
      <c r="B534" s="107">
        <v>33800.0</v>
      </c>
      <c r="C534" s="93">
        <f t="shared" ref="C534:C564" si="18">(B534*1.1)</f>
        <v>37180</v>
      </c>
      <c r="D534" s="13"/>
      <c r="E534" s="49"/>
      <c r="F534" s="6"/>
      <c r="G534" s="60"/>
      <c r="H534" s="68"/>
      <c r="I534" s="2"/>
      <c r="J534" s="4"/>
      <c r="K534" s="14"/>
      <c r="L534" s="2"/>
    </row>
    <row r="535">
      <c r="A535" s="119" t="s">
        <v>525</v>
      </c>
      <c r="B535" s="107">
        <v>48300.0</v>
      </c>
      <c r="C535" s="93">
        <f t="shared" si="18"/>
        <v>53130</v>
      </c>
      <c r="D535" s="13"/>
      <c r="E535" s="49"/>
      <c r="F535" s="6"/>
      <c r="G535" s="28"/>
      <c r="H535" s="20"/>
      <c r="I535" s="2"/>
      <c r="J535" s="15"/>
      <c r="K535" s="31"/>
      <c r="L535" s="2"/>
    </row>
    <row r="536">
      <c r="A536" s="118" t="s">
        <v>526</v>
      </c>
      <c r="B536" s="44">
        <v>51300.0</v>
      </c>
      <c r="C536" s="93">
        <f t="shared" si="18"/>
        <v>56430</v>
      </c>
      <c r="D536" s="4"/>
      <c r="E536" s="38"/>
      <c r="F536" s="6"/>
      <c r="I536" s="2"/>
      <c r="J536" s="15"/>
      <c r="K536" s="31"/>
      <c r="L536" s="2"/>
    </row>
    <row r="537">
      <c r="A537" s="118" t="s">
        <v>527</v>
      </c>
      <c r="B537" s="44">
        <v>66700.0</v>
      </c>
      <c r="C537" s="93">
        <f t="shared" si="18"/>
        <v>73370</v>
      </c>
      <c r="D537" s="13"/>
      <c r="E537" s="49"/>
      <c r="F537" s="6"/>
      <c r="I537" s="2"/>
      <c r="J537" s="15"/>
      <c r="K537" s="31"/>
      <c r="L537" s="2"/>
    </row>
    <row r="538">
      <c r="A538" s="118" t="s">
        <v>528</v>
      </c>
      <c r="B538" s="44">
        <v>80900.0</v>
      </c>
      <c r="C538" s="93">
        <f t="shared" si="18"/>
        <v>88990</v>
      </c>
      <c r="D538" s="13"/>
      <c r="E538" s="49"/>
      <c r="F538" s="6"/>
      <c r="I538" s="2"/>
      <c r="J538" s="15"/>
      <c r="K538" s="31"/>
      <c r="L538" s="2"/>
    </row>
    <row r="539">
      <c r="A539" s="118" t="s">
        <v>529</v>
      </c>
      <c r="B539" s="44">
        <v>57500.0</v>
      </c>
      <c r="C539" s="93">
        <f t="shared" si="18"/>
        <v>63250</v>
      </c>
      <c r="D539" s="13"/>
      <c r="E539" s="49"/>
      <c r="F539" s="6"/>
      <c r="I539" s="2"/>
      <c r="J539" s="120"/>
      <c r="K539" s="15"/>
      <c r="L539" s="2"/>
    </row>
    <row r="540">
      <c r="A540" s="118" t="s">
        <v>530</v>
      </c>
      <c r="B540" s="44">
        <v>80900.0</v>
      </c>
      <c r="C540" s="93">
        <f t="shared" si="18"/>
        <v>88990</v>
      </c>
      <c r="D540" s="13"/>
      <c r="E540" s="49"/>
      <c r="F540" s="6"/>
      <c r="I540" s="2"/>
      <c r="J540" s="31"/>
      <c r="K540" s="15"/>
      <c r="L540" s="2"/>
    </row>
    <row r="541">
      <c r="A541" s="118" t="s">
        <v>531</v>
      </c>
      <c r="B541" s="44">
        <v>57500.0</v>
      </c>
      <c r="C541" s="93">
        <f t="shared" si="18"/>
        <v>63250</v>
      </c>
      <c r="D541" s="13"/>
      <c r="E541" s="49"/>
      <c r="F541" s="6"/>
      <c r="I541" s="2"/>
      <c r="J541" s="31"/>
      <c r="K541" s="15"/>
      <c r="L541" s="2"/>
    </row>
    <row r="542">
      <c r="A542" s="118" t="s">
        <v>532</v>
      </c>
      <c r="B542" s="44">
        <v>71900.0</v>
      </c>
      <c r="C542" s="93">
        <f t="shared" si="18"/>
        <v>79090</v>
      </c>
      <c r="D542" s="13"/>
      <c r="E542" s="49"/>
      <c r="F542" s="6"/>
      <c r="I542" s="2"/>
      <c r="J542" s="31"/>
      <c r="K542" s="15"/>
      <c r="L542" s="2"/>
    </row>
    <row r="543">
      <c r="A543" s="118" t="s">
        <v>533</v>
      </c>
      <c r="B543" s="44">
        <v>51300.0</v>
      </c>
      <c r="C543" s="93">
        <f t="shared" si="18"/>
        <v>56430</v>
      </c>
      <c r="D543" s="13"/>
      <c r="E543" s="49"/>
      <c r="F543" s="6"/>
      <c r="I543" s="2"/>
      <c r="J543" s="15"/>
      <c r="K543" s="15"/>
      <c r="L543" s="2"/>
    </row>
    <row r="544">
      <c r="A544" s="118" t="s">
        <v>534</v>
      </c>
      <c r="B544" s="44">
        <v>59300.0</v>
      </c>
      <c r="C544" s="93">
        <f t="shared" si="18"/>
        <v>65230</v>
      </c>
      <c r="D544" s="13"/>
      <c r="E544" s="49"/>
      <c r="F544" s="6"/>
      <c r="I544" s="2"/>
      <c r="J544" s="15"/>
      <c r="K544" s="15"/>
      <c r="L544" s="2"/>
    </row>
    <row r="545">
      <c r="A545" s="118" t="s">
        <v>535</v>
      </c>
      <c r="B545" s="44">
        <v>87600.0</v>
      </c>
      <c r="C545" s="93">
        <f t="shared" si="18"/>
        <v>96360</v>
      </c>
      <c r="D545" s="13"/>
      <c r="E545" s="49"/>
      <c r="F545" s="6"/>
      <c r="I545" s="2"/>
      <c r="J545" s="31"/>
      <c r="K545" s="15"/>
      <c r="L545" s="2"/>
    </row>
    <row r="546">
      <c r="A546" s="118" t="s">
        <v>536</v>
      </c>
      <c r="B546" s="44">
        <v>20300.0</v>
      </c>
      <c r="C546" s="93">
        <f t="shared" si="18"/>
        <v>22330</v>
      </c>
      <c r="D546" s="13"/>
      <c r="E546" s="49"/>
      <c r="F546" s="6"/>
      <c r="I546" s="2"/>
      <c r="J546" s="31"/>
      <c r="K546" s="15"/>
      <c r="L546" s="2"/>
    </row>
    <row r="547">
      <c r="A547" s="118" t="s">
        <v>537</v>
      </c>
      <c r="B547" s="44">
        <v>20300.0</v>
      </c>
      <c r="C547" s="93">
        <f t="shared" si="18"/>
        <v>22330</v>
      </c>
      <c r="D547" s="4"/>
      <c r="E547" s="38"/>
      <c r="F547" s="6"/>
      <c r="I547" s="2"/>
      <c r="J547" s="31"/>
      <c r="K547" s="15"/>
      <c r="L547" s="2"/>
    </row>
    <row r="548">
      <c r="A548" s="118" t="s">
        <v>538</v>
      </c>
      <c r="B548" s="44">
        <v>20300.0</v>
      </c>
      <c r="C548" s="93">
        <f t="shared" si="18"/>
        <v>22330</v>
      </c>
      <c r="D548" s="4"/>
      <c r="E548" s="38"/>
      <c r="F548" s="6"/>
      <c r="I548" s="2"/>
      <c r="J548" s="31"/>
      <c r="K548" s="15"/>
      <c r="L548" s="2"/>
    </row>
    <row r="549">
      <c r="A549" s="118" t="s">
        <v>539</v>
      </c>
      <c r="B549" s="44">
        <v>38600.0</v>
      </c>
      <c r="C549" s="93">
        <f t="shared" si="18"/>
        <v>42460</v>
      </c>
      <c r="D549" s="4"/>
      <c r="E549" s="38"/>
      <c r="F549" s="6"/>
      <c r="I549" s="2"/>
      <c r="J549" s="31"/>
      <c r="K549" s="15"/>
      <c r="L549" s="2"/>
    </row>
    <row r="550">
      <c r="A550" s="118" t="s">
        <v>540</v>
      </c>
      <c r="B550" s="44">
        <v>35800.0</v>
      </c>
      <c r="C550" s="93">
        <f t="shared" si="18"/>
        <v>39380</v>
      </c>
      <c r="D550" s="4"/>
      <c r="E550" s="38"/>
      <c r="F550" s="6"/>
      <c r="I550" s="2"/>
      <c r="J550" s="15"/>
      <c r="K550" s="15"/>
      <c r="L550" s="2"/>
    </row>
    <row r="551">
      <c r="A551" s="118" t="s">
        <v>541</v>
      </c>
      <c r="B551" s="44">
        <v>20300.0</v>
      </c>
      <c r="C551" s="93">
        <f t="shared" si="18"/>
        <v>22330</v>
      </c>
      <c r="D551" s="13"/>
      <c r="E551" s="38"/>
      <c r="F551" s="6"/>
      <c r="I551" s="2"/>
      <c r="J551" s="15"/>
      <c r="K551" s="15"/>
      <c r="L551" s="2"/>
    </row>
    <row r="552">
      <c r="A552" s="118" t="s">
        <v>542</v>
      </c>
      <c r="B552" s="44">
        <v>51300.0</v>
      </c>
      <c r="C552" s="93">
        <f t="shared" si="18"/>
        <v>56430</v>
      </c>
      <c r="D552" s="13"/>
      <c r="E552" s="49"/>
      <c r="F552" s="6"/>
      <c r="I552" s="2"/>
      <c r="J552" s="15"/>
      <c r="K552" s="15"/>
      <c r="L552" s="2"/>
    </row>
    <row r="553">
      <c r="A553" s="118" t="s">
        <v>543</v>
      </c>
      <c r="B553" s="44">
        <v>45500.0</v>
      </c>
      <c r="C553" s="93">
        <f t="shared" si="18"/>
        <v>50050</v>
      </c>
      <c r="D553" s="13"/>
      <c r="E553" s="49"/>
      <c r="F553" s="6"/>
      <c r="I553" s="2"/>
      <c r="J553" s="15"/>
      <c r="K553" s="15"/>
      <c r="L553" s="2"/>
    </row>
    <row r="554">
      <c r="A554" s="121" t="s">
        <v>544</v>
      </c>
      <c r="B554" s="44">
        <v>47600.0</v>
      </c>
      <c r="C554" s="93">
        <f t="shared" si="18"/>
        <v>52360</v>
      </c>
      <c r="D554" s="13"/>
      <c r="E554" s="49"/>
      <c r="F554" s="6"/>
      <c r="I554" s="2"/>
      <c r="J554" s="15"/>
      <c r="K554" s="15"/>
      <c r="L554" s="2"/>
    </row>
    <row r="555">
      <c r="A555" s="121" t="s">
        <v>545</v>
      </c>
      <c r="B555" s="44">
        <v>58800.0</v>
      </c>
      <c r="C555" s="93">
        <f t="shared" si="18"/>
        <v>64680</v>
      </c>
      <c r="D555" s="4"/>
      <c r="E555" s="38"/>
      <c r="F555" s="6"/>
      <c r="I555" s="2"/>
      <c r="J555" s="15"/>
      <c r="K555" s="15"/>
      <c r="L555" s="2"/>
    </row>
    <row r="556">
      <c r="A556" s="121" t="s">
        <v>546</v>
      </c>
      <c r="B556" s="44">
        <v>68300.0</v>
      </c>
      <c r="C556" s="93">
        <f t="shared" si="18"/>
        <v>75130</v>
      </c>
      <c r="D556" s="4"/>
      <c r="E556" s="38"/>
      <c r="F556" s="6"/>
      <c r="I556" s="2"/>
      <c r="J556" s="15"/>
      <c r="K556" s="15"/>
      <c r="L556" s="2"/>
    </row>
    <row r="557">
      <c r="A557" s="121" t="s">
        <v>547</v>
      </c>
      <c r="B557" s="44">
        <v>63900.0</v>
      </c>
      <c r="C557" s="93">
        <f t="shared" si="18"/>
        <v>70290</v>
      </c>
      <c r="D557" s="4"/>
      <c r="E557" s="38"/>
      <c r="F557" s="6"/>
      <c r="I557" s="2"/>
      <c r="J557" s="15"/>
      <c r="K557" s="15"/>
      <c r="L557" s="2"/>
    </row>
    <row r="558">
      <c r="A558" s="121" t="s">
        <v>548</v>
      </c>
      <c r="B558" s="44">
        <v>80900.0</v>
      </c>
      <c r="C558" s="93">
        <f t="shared" si="18"/>
        <v>88990</v>
      </c>
      <c r="D558" s="13"/>
      <c r="E558" s="38"/>
      <c r="F558" s="6"/>
      <c r="I558" s="2"/>
      <c r="J558" s="15"/>
      <c r="K558" s="15"/>
      <c r="L558" s="2"/>
    </row>
    <row r="559">
      <c r="A559" s="121" t="s">
        <v>549</v>
      </c>
      <c r="B559" s="44">
        <v>104800.0</v>
      </c>
      <c r="C559" s="93">
        <f t="shared" si="18"/>
        <v>115280</v>
      </c>
      <c r="D559" s="13"/>
      <c r="E559" s="49"/>
      <c r="F559" s="6"/>
      <c r="I559" s="20"/>
      <c r="J559" s="15"/>
      <c r="K559" s="15"/>
      <c r="L559" s="2"/>
    </row>
    <row r="560">
      <c r="A560" s="121" t="s">
        <v>550</v>
      </c>
      <c r="B560" s="44">
        <v>51300.0</v>
      </c>
      <c r="C560" s="93">
        <f t="shared" si="18"/>
        <v>56430</v>
      </c>
      <c r="D560" s="13"/>
      <c r="E560" s="49"/>
      <c r="F560" s="6"/>
      <c r="I560" s="20"/>
      <c r="J560" s="15"/>
      <c r="K560" s="15"/>
      <c r="L560" s="2"/>
    </row>
    <row r="561">
      <c r="A561" s="121" t="s">
        <v>551</v>
      </c>
      <c r="B561" s="44">
        <v>88600.0</v>
      </c>
      <c r="C561" s="93">
        <f t="shared" si="18"/>
        <v>97460</v>
      </c>
      <c r="D561" s="13"/>
      <c r="E561" s="49"/>
      <c r="F561" s="6"/>
      <c r="I561" s="20"/>
      <c r="J561" s="15"/>
      <c r="K561" s="15"/>
      <c r="L561" s="2"/>
    </row>
    <row r="562">
      <c r="A562" s="121" t="s">
        <v>552</v>
      </c>
      <c r="B562" s="44">
        <v>88600.0</v>
      </c>
      <c r="C562" s="93">
        <f t="shared" si="18"/>
        <v>97460</v>
      </c>
      <c r="D562" s="4"/>
      <c r="E562" s="49"/>
      <c r="F562" s="6"/>
      <c r="I562" s="20"/>
      <c r="J562" s="15"/>
      <c r="K562" s="15"/>
      <c r="L562" s="2"/>
    </row>
    <row r="563">
      <c r="A563" s="121" t="s">
        <v>553</v>
      </c>
      <c r="B563" s="44">
        <v>96400.0</v>
      </c>
      <c r="C563" s="93">
        <f t="shared" si="18"/>
        <v>106040</v>
      </c>
      <c r="D563" s="4"/>
      <c r="E563" s="49"/>
      <c r="F563" s="6"/>
      <c r="I563" s="20"/>
      <c r="J563" s="15"/>
      <c r="K563" s="15"/>
      <c r="L563" s="2"/>
    </row>
    <row r="564">
      <c r="A564" s="121" t="s">
        <v>554</v>
      </c>
      <c r="B564" s="44">
        <v>104800.0</v>
      </c>
      <c r="C564" s="93">
        <f t="shared" si="18"/>
        <v>115280</v>
      </c>
      <c r="D564" s="13"/>
      <c r="E564" s="49"/>
      <c r="F564" s="6"/>
      <c r="I564" s="20"/>
      <c r="J564" s="15"/>
      <c r="K564" s="15"/>
      <c r="L564" s="2"/>
    </row>
    <row r="565">
      <c r="B565" s="10"/>
      <c r="C565" s="10"/>
      <c r="D565" s="13"/>
      <c r="E565" s="20"/>
      <c r="F565" s="116"/>
      <c r="I565" s="20"/>
      <c r="J565" s="15"/>
      <c r="K565" s="15"/>
      <c r="L565" s="2"/>
    </row>
    <row r="566">
      <c r="A566" s="122" t="s">
        <v>555</v>
      </c>
      <c r="B566" s="44" t="s">
        <v>145</v>
      </c>
      <c r="C566" s="91" t="s">
        <v>6</v>
      </c>
      <c r="D566" s="13"/>
      <c r="E566" s="20"/>
      <c r="F566" s="6"/>
      <c r="I566" s="2"/>
      <c r="J566" s="15"/>
      <c r="K566" s="15"/>
      <c r="L566" s="2"/>
    </row>
    <row r="567">
      <c r="A567" s="121" t="s">
        <v>556</v>
      </c>
      <c r="B567" s="44">
        <v>55200.0</v>
      </c>
      <c r="C567" s="93">
        <f t="shared" ref="C567:C581" si="19">(B567*1.1)</f>
        <v>60720</v>
      </c>
      <c r="D567" s="13"/>
      <c r="E567" s="49"/>
      <c r="F567" s="116"/>
      <c r="I567" s="2"/>
      <c r="J567" s="15"/>
      <c r="K567" s="15"/>
      <c r="L567" s="2"/>
    </row>
    <row r="568">
      <c r="A568" s="121" t="s">
        <v>557</v>
      </c>
      <c r="B568" s="44">
        <v>56800.0</v>
      </c>
      <c r="C568" s="93">
        <f t="shared" si="19"/>
        <v>62480</v>
      </c>
      <c r="D568" s="13"/>
      <c r="E568" s="49"/>
      <c r="F568" s="116"/>
      <c r="I568" s="2"/>
      <c r="J568" s="15"/>
      <c r="K568" s="15"/>
      <c r="L568" s="2"/>
    </row>
    <row r="569">
      <c r="A569" s="121" t="s">
        <v>558</v>
      </c>
      <c r="B569" s="44">
        <v>27200.0</v>
      </c>
      <c r="C569" s="93">
        <f t="shared" si="19"/>
        <v>29920</v>
      </c>
      <c r="D569" s="13"/>
      <c r="E569" s="49"/>
      <c r="F569" s="116"/>
      <c r="I569" s="2"/>
      <c r="J569" s="15"/>
      <c r="K569" s="15"/>
      <c r="L569" s="2"/>
    </row>
    <row r="570">
      <c r="A570" s="121" t="s">
        <v>559</v>
      </c>
      <c r="B570" s="44">
        <v>33500.0</v>
      </c>
      <c r="C570" s="93">
        <f t="shared" si="19"/>
        <v>36850</v>
      </c>
      <c r="D570" s="13"/>
      <c r="E570" s="38"/>
      <c r="F570" s="116"/>
      <c r="J570" s="15"/>
      <c r="K570" s="15"/>
      <c r="L570" s="2"/>
    </row>
    <row r="571">
      <c r="A571" s="121" t="s">
        <v>560</v>
      </c>
      <c r="B571" s="44">
        <v>41200.0</v>
      </c>
      <c r="C571" s="93">
        <f t="shared" si="19"/>
        <v>45320</v>
      </c>
      <c r="D571" s="13"/>
      <c r="E571" s="38"/>
      <c r="F571" s="116"/>
      <c r="J571" s="15"/>
      <c r="K571" s="15"/>
      <c r="L571" s="2"/>
    </row>
    <row r="572">
      <c r="A572" s="121" t="s">
        <v>561</v>
      </c>
      <c r="B572" s="44">
        <v>71900.0</v>
      </c>
      <c r="C572" s="93">
        <f t="shared" si="19"/>
        <v>79090</v>
      </c>
      <c r="D572" s="13"/>
      <c r="E572" s="38"/>
      <c r="F572" s="116"/>
      <c r="J572" s="15"/>
      <c r="K572" s="15"/>
      <c r="L572" s="2"/>
    </row>
    <row r="573">
      <c r="A573" s="121" t="s">
        <v>562</v>
      </c>
      <c r="B573" s="44">
        <v>43900.0</v>
      </c>
      <c r="C573" s="93">
        <f t="shared" si="19"/>
        <v>48290</v>
      </c>
      <c r="D573" s="4"/>
      <c r="E573" s="38"/>
      <c r="F573" s="116"/>
      <c r="H573" s="2"/>
      <c r="K573" s="2"/>
      <c r="L573" s="2"/>
    </row>
    <row r="574">
      <c r="A574" s="121" t="s">
        <v>563</v>
      </c>
      <c r="B574" s="44">
        <v>70800.0</v>
      </c>
      <c r="C574" s="93">
        <f t="shared" si="19"/>
        <v>77880</v>
      </c>
      <c r="D574" s="4"/>
      <c r="E574" s="38"/>
      <c r="F574" s="116"/>
      <c r="H574" s="2"/>
      <c r="K574" s="2"/>
      <c r="L574" s="2"/>
    </row>
    <row r="575">
      <c r="A575" s="121" t="s">
        <v>564</v>
      </c>
      <c r="B575" s="44">
        <v>54300.0</v>
      </c>
      <c r="C575" s="93">
        <f t="shared" si="19"/>
        <v>59730</v>
      </c>
      <c r="D575" s="4"/>
      <c r="E575" s="38"/>
      <c r="F575" s="116"/>
      <c r="H575" s="2"/>
      <c r="K575" s="2"/>
      <c r="L575" s="2"/>
    </row>
    <row r="576">
      <c r="A576" s="121" t="s">
        <v>565</v>
      </c>
      <c r="B576" s="44">
        <v>10300.0</v>
      </c>
      <c r="C576" s="93">
        <f t="shared" si="19"/>
        <v>11330</v>
      </c>
      <c r="D576" s="13"/>
      <c r="E576" s="38"/>
      <c r="F576" s="116"/>
      <c r="H576" s="2"/>
      <c r="K576" s="2"/>
      <c r="L576" s="2"/>
    </row>
    <row r="577">
      <c r="A577" s="121" t="s">
        <v>566</v>
      </c>
      <c r="B577" s="44">
        <v>99300.0</v>
      </c>
      <c r="C577" s="93">
        <f t="shared" si="19"/>
        <v>109230</v>
      </c>
      <c r="D577" s="13"/>
      <c r="E577" s="38"/>
      <c r="F577" s="116"/>
      <c r="H577" s="2"/>
      <c r="K577" s="2"/>
      <c r="L577" s="2"/>
    </row>
    <row r="578">
      <c r="A578" s="121" t="s">
        <v>567</v>
      </c>
      <c r="B578" s="44">
        <v>106300.0</v>
      </c>
      <c r="C578" s="93">
        <f t="shared" si="19"/>
        <v>116930</v>
      </c>
      <c r="D578" s="13"/>
      <c r="E578" s="49"/>
      <c r="F578" s="116"/>
      <c r="H578" s="2"/>
      <c r="K578" s="2"/>
      <c r="L578" s="2"/>
    </row>
    <row r="579">
      <c r="A579" s="121" t="s">
        <v>568</v>
      </c>
      <c r="B579" s="44">
        <v>102500.0</v>
      </c>
      <c r="C579" s="93">
        <f t="shared" si="19"/>
        <v>112750</v>
      </c>
      <c r="D579" s="13"/>
      <c r="E579" s="49"/>
      <c r="F579" s="116"/>
      <c r="H579" s="2"/>
      <c r="K579" s="2"/>
      <c r="L579" s="2"/>
    </row>
    <row r="580">
      <c r="A580" s="121" t="s">
        <v>569</v>
      </c>
      <c r="B580" s="44">
        <v>61800.0</v>
      </c>
      <c r="C580" s="93">
        <f t="shared" si="19"/>
        <v>67980</v>
      </c>
      <c r="D580" s="13"/>
      <c r="E580" s="38"/>
      <c r="F580" s="116"/>
      <c r="H580" s="2"/>
      <c r="K580" s="2"/>
      <c r="L580" s="2"/>
    </row>
    <row r="581">
      <c r="A581" s="121" t="s">
        <v>570</v>
      </c>
      <c r="B581" s="44">
        <v>97300.0</v>
      </c>
      <c r="C581" s="93">
        <f t="shared" si="19"/>
        <v>107030</v>
      </c>
      <c r="D581" s="13"/>
      <c r="E581" s="38"/>
      <c r="F581" s="116"/>
      <c r="H581" s="2"/>
      <c r="K581" s="2"/>
      <c r="L581" s="2"/>
    </row>
    <row r="582">
      <c r="B582" s="10"/>
      <c r="C582" s="10"/>
      <c r="D582" s="13"/>
      <c r="E582" s="35"/>
      <c r="F582" s="116"/>
      <c r="G582" s="2"/>
      <c r="H582" s="2"/>
      <c r="K582" s="2"/>
      <c r="L582" s="2"/>
    </row>
    <row r="583">
      <c r="A583" s="122" t="s">
        <v>571</v>
      </c>
      <c r="B583" s="44" t="s">
        <v>145</v>
      </c>
      <c r="C583" s="91" t="s">
        <v>6</v>
      </c>
      <c r="D583" s="13"/>
      <c r="E583" s="35"/>
      <c r="F583" s="116"/>
      <c r="G583" s="2"/>
      <c r="H583" s="2"/>
      <c r="K583" s="2"/>
      <c r="L583" s="2"/>
    </row>
    <row r="584">
      <c r="A584" s="121" t="s">
        <v>572</v>
      </c>
      <c r="B584" s="44">
        <v>23300.0</v>
      </c>
      <c r="C584" s="93">
        <f t="shared" ref="C584:C600" si="20">(B584*1.1)</f>
        <v>25630</v>
      </c>
      <c r="D584" s="13"/>
      <c r="E584" s="49"/>
      <c r="F584" s="116"/>
      <c r="G584" s="2"/>
      <c r="H584" s="2"/>
      <c r="K584" s="2"/>
      <c r="L584" s="2"/>
    </row>
    <row r="585">
      <c r="A585" s="121" t="s">
        <v>573</v>
      </c>
      <c r="B585" s="44">
        <v>20500.0</v>
      </c>
      <c r="C585" s="93">
        <f t="shared" si="20"/>
        <v>22550</v>
      </c>
      <c r="D585" s="60"/>
      <c r="E585" s="38"/>
      <c r="F585" s="116"/>
      <c r="G585" s="2"/>
      <c r="H585" s="2"/>
      <c r="K585" s="2"/>
      <c r="L585" s="2"/>
    </row>
    <row r="586">
      <c r="A586" s="121" t="s">
        <v>574</v>
      </c>
      <c r="B586" s="44">
        <v>25900.0</v>
      </c>
      <c r="C586" s="93">
        <f t="shared" si="20"/>
        <v>28490</v>
      </c>
      <c r="D586" s="13"/>
      <c r="E586" s="38"/>
      <c r="F586" s="116"/>
      <c r="G586" s="2"/>
      <c r="H586" s="2"/>
      <c r="K586" s="2"/>
      <c r="L586" s="2"/>
    </row>
    <row r="587">
      <c r="A587" s="121" t="s">
        <v>575</v>
      </c>
      <c r="B587" s="44">
        <v>43900.0</v>
      </c>
      <c r="C587" s="93">
        <f t="shared" si="20"/>
        <v>48290</v>
      </c>
      <c r="D587" s="13"/>
      <c r="E587" s="38"/>
      <c r="F587" s="116"/>
      <c r="G587" s="2"/>
      <c r="H587" s="2"/>
      <c r="K587" s="2"/>
      <c r="L587" s="2"/>
    </row>
    <row r="588">
      <c r="A588" s="121" t="s">
        <v>576</v>
      </c>
      <c r="B588" s="44">
        <v>55600.0</v>
      </c>
      <c r="C588" s="93">
        <f t="shared" si="20"/>
        <v>61160</v>
      </c>
      <c r="D588" s="13"/>
      <c r="E588" s="49"/>
      <c r="F588" s="116"/>
      <c r="G588" s="2"/>
      <c r="H588" s="2"/>
      <c r="K588" s="2"/>
      <c r="L588" s="2"/>
    </row>
    <row r="589">
      <c r="A589" s="121" t="s">
        <v>577</v>
      </c>
      <c r="B589" s="44">
        <v>59300.0</v>
      </c>
      <c r="C589" s="93">
        <f t="shared" si="20"/>
        <v>65230</v>
      </c>
      <c r="D589" s="13"/>
      <c r="E589" s="49"/>
      <c r="F589" s="116"/>
      <c r="G589" s="2"/>
      <c r="H589" s="2"/>
      <c r="K589" s="2"/>
      <c r="L589" s="2"/>
    </row>
    <row r="590">
      <c r="A590" s="121" t="s">
        <v>578</v>
      </c>
      <c r="B590" s="44">
        <v>50600.0</v>
      </c>
      <c r="C590" s="93">
        <f t="shared" si="20"/>
        <v>55660</v>
      </c>
      <c r="D590" s="13"/>
      <c r="E590" s="49"/>
      <c r="F590" s="116"/>
      <c r="G590" s="2"/>
      <c r="H590" s="2"/>
      <c r="K590" s="2"/>
      <c r="L590" s="2"/>
    </row>
    <row r="591">
      <c r="A591" s="121" t="s">
        <v>579</v>
      </c>
      <c r="B591" s="44">
        <v>70800.0</v>
      </c>
      <c r="C591" s="93">
        <f t="shared" si="20"/>
        <v>77880</v>
      </c>
      <c r="D591" s="60"/>
      <c r="E591" s="49"/>
      <c r="F591" s="116"/>
      <c r="G591" s="2"/>
      <c r="H591" s="2"/>
      <c r="K591" s="2"/>
      <c r="L591" s="2"/>
    </row>
    <row r="592">
      <c r="A592" s="121" t="s">
        <v>580</v>
      </c>
      <c r="B592" s="44">
        <v>76600.0</v>
      </c>
      <c r="C592" s="93">
        <f t="shared" si="20"/>
        <v>84260</v>
      </c>
      <c r="D592" s="60"/>
      <c r="E592" s="49"/>
      <c r="F592" s="116"/>
      <c r="G592" s="2"/>
      <c r="H592" s="2"/>
      <c r="K592" s="2"/>
      <c r="L592" s="2"/>
    </row>
    <row r="593">
      <c r="A593" s="121" t="s">
        <v>581</v>
      </c>
      <c r="B593" s="44">
        <v>75900.0</v>
      </c>
      <c r="C593" s="93">
        <f t="shared" si="20"/>
        <v>83490</v>
      </c>
      <c r="D593" s="13"/>
      <c r="E593" s="49"/>
      <c r="F593" s="116"/>
      <c r="G593" s="2"/>
      <c r="H593" s="2"/>
      <c r="K593" s="2"/>
      <c r="L593" s="2"/>
    </row>
    <row r="594">
      <c r="A594" s="121" t="s">
        <v>582</v>
      </c>
      <c r="B594" s="44">
        <v>81800.0</v>
      </c>
      <c r="C594" s="93">
        <f t="shared" si="20"/>
        <v>89980</v>
      </c>
      <c r="D594" s="13"/>
      <c r="E594" s="49"/>
      <c r="F594" s="116"/>
      <c r="G594" s="2"/>
      <c r="H594" s="2"/>
      <c r="K594" s="2"/>
      <c r="L594" s="2"/>
    </row>
    <row r="595">
      <c r="A595" s="121" t="s">
        <v>583</v>
      </c>
      <c r="B595" s="44">
        <v>66300.0</v>
      </c>
      <c r="C595" s="93">
        <f t="shared" si="20"/>
        <v>72930</v>
      </c>
      <c r="D595" s="13"/>
      <c r="E595" s="49"/>
      <c r="F595" s="116"/>
      <c r="G595" s="2"/>
      <c r="H595" s="2"/>
      <c r="K595" s="2"/>
      <c r="L595" s="2"/>
    </row>
    <row r="596">
      <c r="A596" s="121" t="s">
        <v>584</v>
      </c>
      <c r="B596" s="44">
        <v>53600.0</v>
      </c>
      <c r="C596" s="93">
        <f t="shared" si="20"/>
        <v>58960</v>
      </c>
      <c r="D596" s="13"/>
      <c r="E596" s="38"/>
      <c r="F596" s="116"/>
      <c r="G596" s="2"/>
      <c r="H596" s="2"/>
      <c r="K596" s="2"/>
      <c r="L596" s="2"/>
    </row>
    <row r="597">
      <c r="A597" s="121" t="s">
        <v>585</v>
      </c>
      <c r="B597" s="44">
        <v>68300.0</v>
      </c>
      <c r="C597" s="93">
        <f t="shared" si="20"/>
        <v>75130</v>
      </c>
      <c r="D597" s="13"/>
      <c r="E597" s="49"/>
      <c r="F597" s="116"/>
      <c r="G597" s="2"/>
      <c r="H597" s="2"/>
      <c r="K597" s="2"/>
      <c r="L597" s="2"/>
    </row>
    <row r="598">
      <c r="A598" s="121" t="s">
        <v>586</v>
      </c>
      <c r="B598" s="44">
        <v>75600.0</v>
      </c>
      <c r="C598" s="93">
        <f t="shared" si="20"/>
        <v>83160</v>
      </c>
      <c r="D598" s="13"/>
      <c r="E598" s="49"/>
      <c r="F598" s="116"/>
      <c r="G598" s="2"/>
      <c r="H598" s="2"/>
      <c r="K598" s="2"/>
      <c r="L598" s="2"/>
    </row>
    <row r="599">
      <c r="A599" s="121" t="s">
        <v>587</v>
      </c>
      <c r="B599" s="44">
        <v>66900.0</v>
      </c>
      <c r="C599" s="93">
        <f t="shared" si="20"/>
        <v>73590</v>
      </c>
      <c r="D599" s="13"/>
      <c r="E599" s="49"/>
      <c r="F599" s="116"/>
      <c r="G599" s="2"/>
      <c r="H599" s="2"/>
      <c r="K599" s="2"/>
      <c r="L599" s="2"/>
    </row>
    <row r="600">
      <c r="A600" s="121" t="s">
        <v>588</v>
      </c>
      <c r="B600" s="44">
        <v>66900.0</v>
      </c>
      <c r="C600" s="93">
        <f t="shared" si="20"/>
        <v>73590</v>
      </c>
      <c r="D600" s="13"/>
      <c r="E600" s="49"/>
      <c r="F600" s="116"/>
      <c r="G600" s="2"/>
      <c r="H600" s="2"/>
      <c r="K600" s="2"/>
      <c r="L600" s="2"/>
    </row>
    <row r="601">
      <c r="B601" s="10"/>
      <c r="C601" s="10"/>
      <c r="D601" s="13"/>
      <c r="E601" s="47"/>
      <c r="F601" s="116"/>
      <c r="G601" s="2"/>
      <c r="H601" s="2"/>
      <c r="K601" s="2"/>
      <c r="L601" s="2"/>
    </row>
    <row r="602">
      <c r="A602" s="122" t="s">
        <v>589</v>
      </c>
      <c r="B602" s="107" t="s">
        <v>145</v>
      </c>
      <c r="C602" s="123" t="s">
        <v>6</v>
      </c>
      <c r="D602" s="13"/>
      <c r="E602" s="38"/>
      <c r="F602" s="116"/>
      <c r="G602" s="2"/>
      <c r="H602" s="2"/>
      <c r="K602" s="2"/>
      <c r="L602" s="2"/>
    </row>
    <row r="603">
      <c r="A603" s="121" t="s">
        <v>590</v>
      </c>
      <c r="B603" s="44">
        <v>80500.0</v>
      </c>
      <c r="C603" s="93">
        <f t="shared" ref="C603:C626" si="21">(B603*1.1)</f>
        <v>88550</v>
      </c>
      <c r="D603" s="13"/>
      <c r="E603" s="38"/>
      <c r="F603" s="116"/>
      <c r="G603" s="2"/>
      <c r="H603" s="2"/>
      <c r="K603" s="2"/>
      <c r="L603" s="2"/>
    </row>
    <row r="604">
      <c r="A604" s="121" t="s">
        <v>591</v>
      </c>
      <c r="B604" s="44">
        <v>80500.0</v>
      </c>
      <c r="C604" s="93">
        <f t="shared" si="21"/>
        <v>88550</v>
      </c>
      <c r="D604" s="13"/>
      <c r="E604" s="49"/>
      <c r="F604" s="116"/>
      <c r="G604" s="2"/>
      <c r="H604" s="2"/>
      <c r="K604" s="2"/>
      <c r="L604" s="2"/>
    </row>
    <row r="605">
      <c r="A605" s="121" t="s">
        <v>592</v>
      </c>
      <c r="B605" s="44">
        <v>78200.0</v>
      </c>
      <c r="C605" s="93">
        <f t="shared" si="21"/>
        <v>86020</v>
      </c>
      <c r="D605" s="13"/>
      <c r="E605" s="49"/>
      <c r="F605" s="116"/>
      <c r="G605" s="2"/>
      <c r="H605" s="2"/>
      <c r="K605" s="2"/>
      <c r="L605" s="2"/>
    </row>
    <row r="606">
      <c r="A606" s="121" t="s">
        <v>593</v>
      </c>
      <c r="B606" s="44">
        <v>80500.0</v>
      </c>
      <c r="C606" s="93">
        <f t="shared" si="21"/>
        <v>88550</v>
      </c>
      <c r="D606" s="13"/>
      <c r="E606" s="49"/>
      <c r="F606" s="116"/>
      <c r="G606" s="2"/>
      <c r="H606" s="2"/>
      <c r="K606" s="2"/>
      <c r="L606" s="2"/>
    </row>
    <row r="607">
      <c r="A607" s="121" t="s">
        <v>594</v>
      </c>
      <c r="B607" s="44">
        <v>81800.0</v>
      </c>
      <c r="C607" s="93">
        <f t="shared" si="21"/>
        <v>89980</v>
      </c>
      <c r="D607" s="13"/>
      <c r="E607" s="49"/>
      <c r="F607" s="116"/>
      <c r="G607" s="2"/>
      <c r="H607" s="2"/>
      <c r="K607" s="2"/>
      <c r="L607" s="2"/>
    </row>
    <row r="608">
      <c r="A608" s="121" t="s">
        <v>595</v>
      </c>
      <c r="B608" s="44">
        <v>86900.0</v>
      </c>
      <c r="C608" s="93">
        <f t="shared" si="21"/>
        <v>95590</v>
      </c>
      <c r="D608" s="13"/>
      <c r="E608" s="49"/>
      <c r="F608" s="116"/>
      <c r="G608" s="2"/>
      <c r="H608" s="2"/>
      <c r="K608" s="2"/>
      <c r="L608" s="2"/>
    </row>
    <row r="609">
      <c r="A609" s="121" t="s">
        <v>596</v>
      </c>
      <c r="B609" s="44">
        <v>52900.0</v>
      </c>
      <c r="C609" s="93">
        <f t="shared" si="21"/>
        <v>58190</v>
      </c>
      <c r="D609" s="13"/>
      <c r="E609" s="49"/>
      <c r="F609" s="116"/>
      <c r="G609" s="2"/>
      <c r="H609" s="2"/>
      <c r="K609" s="2"/>
      <c r="L609" s="2"/>
    </row>
    <row r="610">
      <c r="A610" s="121" t="s">
        <v>597</v>
      </c>
      <c r="B610" s="44">
        <v>75900.0</v>
      </c>
      <c r="C610" s="93">
        <f t="shared" si="21"/>
        <v>83490</v>
      </c>
      <c r="D610" s="13"/>
      <c r="E610" s="49"/>
      <c r="F610" s="116"/>
      <c r="G610" s="2"/>
      <c r="H610" s="2"/>
      <c r="K610" s="2"/>
      <c r="L610" s="2"/>
    </row>
    <row r="611">
      <c r="A611" s="121" t="s">
        <v>598</v>
      </c>
      <c r="B611" s="44">
        <v>91300.0</v>
      </c>
      <c r="C611" s="93">
        <f t="shared" si="21"/>
        <v>100430</v>
      </c>
      <c r="D611" s="13"/>
      <c r="E611" s="49"/>
      <c r="F611" s="116"/>
      <c r="G611" s="2"/>
      <c r="H611" s="2"/>
      <c r="K611" s="2"/>
      <c r="L611" s="2"/>
    </row>
    <row r="612">
      <c r="A612" s="121" t="s">
        <v>599</v>
      </c>
      <c r="B612" s="44">
        <v>94300.0</v>
      </c>
      <c r="C612" s="93">
        <f t="shared" si="21"/>
        <v>103730</v>
      </c>
      <c r="D612" s="13"/>
      <c r="E612" s="49"/>
      <c r="F612" s="116"/>
      <c r="G612" s="2"/>
      <c r="H612" s="2"/>
      <c r="K612" s="2"/>
      <c r="L612" s="2"/>
    </row>
    <row r="613">
      <c r="A613" s="121" t="s">
        <v>600</v>
      </c>
      <c r="B613" s="44">
        <v>94300.0</v>
      </c>
      <c r="C613" s="93">
        <f t="shared" si="21"/>
        <v>103730</v>
      </c>
      <c r="D613" s="13"/>
      <c r="E613" s="49"/>
      <c r="F613" s="116"/>
      <c r="G613" s="2"/>
      <c r="H613" s="2"/>
      <c r="K613" s="2"/>
      <c r="L613" s="2"/>
    </row>
    <row r="614">
      <c r="A614" s="121" t="s">
        <v>601</v>
      </c>
      <c r="B614" s="44">
        <v>94300.0</v>
      </c>
      <c r="C614" s="93">
        <f t="shared" si="21"/>
        <v>103730</v>
      </c>
      <c r="D614" s="13"/>
      <c r="E614" s="49"/>
      <c r="F614" s="116"/>
      <c r="G614" s="2"/>
      <c r="H614" s="2"/>
      <c r="K614" s="2"/>
      <c r="L614" s="2"/>
    </row>
    <row r="615">
      <c r="A615" s="121" t="s">
        <v>602</v>
      </c>
      <c r="B615" s="44">
        <v>84800.0</v>
      </c>
      <c r="C615" s="93">
        <f t="shared" si="21"/>
        <v>93280</v>
      </c>
      <c r="D615" s="13"/>
      <c r="E615" s="49"/>
      <c r="F615" s="116"/>
      <c r="G615" s="2"/>
      <c r="H615" s="2"/>
      <c r="K615" s="2"/>
      <c r="L615" s="2"/>
    </row>
    <row r="616">
      <c r="A616" s="121" t="s">
        <v>603</v>
      </c>
      <c r="B616" s="44">
        <v>94300.0</v>
      </c>
      <c r="C616" s="93">
        <f t="shared" si="21"/>
        <v>103730</v>
      </c>
      <c r="D616" s="13"/>
      <c r="E616" s="49"/>
      <c r="F616" s="116"/>
      <c r="G616" s="2"/>
      <c r="H616" s="2"/>
      <c r="K616" s="2"/>
      <c r="L616" s="2"/>
    </row>
    <row r="617">
      <c r="A617" s="121" t="s">
        <v>604</v>
      </c>
      <c r="B617" s="44">
        <v>119600.0</v>
      </c>
      <c r="C617" s="93">
        <f t="shared" si="21"/>
        <v>131560</v>
      </c>
      <c r="D617" s="13"/>
      <c r="E617" s="49"/>
      <c r="F617" s="116"/>
      <c r="G617" s="2"/>
      <c r="H617" s="2"/>
      <c r="K617" s="2"/>
      <c r="L617" s="2"/>
    </row>
    <row r="618">
      <c r="A618" s="121" t="s">
        <v>605</v>
      </c>
      <c r="B618" s="44">
        <v>80500.0</v>
      </c>
      <c r="C618" s="93">
        <f t="shared" si="21"/>
        <v>88550</v>
      </c>
      <c r="D618" s="13"/>
      <c r="E618" s="49"/>
      <c r="F618" s="116"/>
      <c r="G618" s="2"/>
      <c r="H618" s="2"/>
      <c r="K618" s="2"/>
      <c r="L618" s="2"/>
    </row>
    <row r="619">
      <c r="A619" s="121" t="s">
        <v>606</v>
      </c>
      <c r="B619" s="44">
        <v>98900.0</v>
      </c>
      <c r="C619" s="93">
        <f t="shared" si="21"/>
        <v>108790</v>
      </c>
      <c r="D619" s="13"/>
      <c r="E619" s="38"/>
      <c r="F619" s="116"/>
      <c r="G619" s="2"/>
      <c r="H619" s="2"/>
      <c r="K619" s="2"/>
      <c r="L619" s="2"/>
    </row>
    <row r="620">
      <c r="A620" s="121" t="s">
        <v>607</v>
      </c>
      <c r="B620" s="44">
        <v>103500.0</v>
      </c>
      <c r="C620" s="93">
        <f t="shared" si="21"/>
        <v>113850</v>
      </c>
      <c r="D620" s="13"/>
      <c r="E620" s="49"/>
      <c r="F620" s="116"/>
      <c r="G620" s="2"/>
      <c r="H620" s="2"/>
      <c r="K620" s="2"/>
      <c r="L620" s="2"/>
    </row>
    <row r="621">
      <c r="A621" s="121" t="s">
        <v>608</v>
      </c>
      <c r="B621" s="44">
        <v>118900.0</v>
      </c>
      <c r="C621" s="93">
        <f t="shared" si="21"/>
        <v>130790</v>
      </c>
      <c r="D621" s="13"/>
      <c r="E621" s="49"/>
      <c r="F621" s="116"/>
      <c r="G621" s="2"/>
      <c r="H621" s="2"/>
      <c r="K621" s="2"/>
      <c r="L621" s="2"/>
    </row>
    <row r="622">
      <c r="A622" s="121" t="s">
        <v>609</v>
      </c>
      <c r="B622" s="44">
        <v>78800.0</v>
      </c>
      <c r="C622" s="93">
        <f t="shared" si="21"/>
        <v>86680</v>
      </c>
      <c r="D622" s="13"/>
      <c r="E622" s="49"/>
      <c r="F622" s="116"/>
      <c r="G622" s="2"/>
      <c r="H622" s="2"/>
      <c r="K622" s="2"/>
      <c r="L622" s="2"/>
    </row>
    <row r="623">
      <c r="A623" s="121" t="s">
        <v>610</v>
      </c>
      <c r="B623" s="44">
        <v>75900.0</v>
      </c>
      <c r="C623" s="93">
        <f t="shared" si="21"/>
        <v>83490</v>
      </c>
      <c r="D623" s="13"/>
      <c r="E623" s="49"/>
      <c r="F623" s="116"/>
      <c r="G623" s="2"/>
      <c r="H623" s="2"/>
      <c r="K623" s="2"/>
      <c r="L623" s="2"/>
    </row>
    <row r="624">
      <c r="A624" s="121" t="s">
        <v>611</v>
      </c>
      <c r="B624" s="44">
        <v>105500.0</v>
      </c>
      <c r="C624" s="93">
        <f t="shared" si="21"/>
        <v>116050</v>
      </c>
      <c r="D624" s="13"/>
      <c r="E624" s="49"/>
      <c r="F624" s="116"/>
      <c r="G624" s="2"/>
      <c r="H624" s="2"/>
      <c r="K624" s="2"/>
      <c r="L624" s="2"/>
    </row>
    <row r="625">
      <c r="A625" s="121" t="s">
        <v>612</v>
      </c>
      <c r="B625" s="44">
        <v>95900.0</v>
      </c>
      <c r="C625" s="93">
        <f t="shared" si="21"/>
        <v>105490</v>
      </c>
      <c r="D625" s="13"/>
      <c r="E625" s="38"/>
      <c r="F625" s="116"/>
      <c r="G625" s="2"/>
      <c r="H625" s="2"/>
      <c r="K625" s="2"/>
      <c r="L625" s="2"/>
    </row>
    <row r="626">
      <c r="A626" s="124" t="s">
        <v>613</v>
      </c>
      <c r="B626" s="44">
        <v>92000.0</v>
      </c>
      <c r="C626" s="93">
        <f t="shared" si="21"/>
        <v>101200</v>
      </c>
      <c r="D626" s="13"/>
      <c r="E626" s="35"/>
      <c r="F626" s="116"/>
      <c r="G626" s="2"/>
      <c r="H626" s="2"/>
      <c r="K626" s="2"/>
      <c r="L626" s="2"/>
    </row>
    <row r="627">
      <c r="A627" s="121"/>
      <c r="B627" s="10"/>
      <c r="C627" s="10"/>
      <c r="D627" s="13"/>
      <c r="E627" s="20"/>
      <c r="F627" s="116"/>
      <c r="G627" s="2"/>
      <c r="H627" s="2"/>
      <c r="K627" s="2"/>
      <c r="L627" s="2"/>
    </row>
    <row r="628">
      <c r="A628" s="121"/>
      <c r="B628" s="10"/>
      <c r="C628" s="10"/>
      <c r="D628" s="60"/>
      <c r="E628" s="20"/>
      <c r="F628" s="116"/>
      <c r="G628" s="2"/>
      <c r="H628" s="2"/>
      <c r="K628" s="2"/>
      <c r="L628" s="2"/>
    </row>
    <row r="629">
      <c r="A629" s="121"/>
      <c r="B629" s="4">
        <v>94800.0</v>
      </c>
      <c r="C629" s="4">
        <v>86200.0</v>
      </c>
      <c r="D629" s="125"/>
      <c r="E629" s="20"/>
      <c r="F629" s="116"/>
      <c r="G629" s="2"/>
      <c r="H629" s="2"/>
      <c r="K629" s="2"/>
      <c r="L629" s="2"/>
    </row>
    <row r="630">
      <c r="A630" s="124"/>
      <c r="B630" s="10"/>
      <c r="C630" s="10"/>
      <c r="D630" s="13"/>
      <c r="E630" s="20"/>
      <c r="F630" s="116"/>
      <c r="G630" s="2"/>
      <c r="H630" s="2"/>
      <c r="K630" s="2"/>
      <c r="L630" s="2"/>
    </row>
    <row r="631">
      <c r="A631" s="124"/>
      <c r="B631" s="10"/>
      <c r="C631" s="10"/>
      <c r="D631" s="13"/>
      <c r="E631" s="20"/>
      <c r="F631" s="116"/>
      <c r="G631" s="2"/>
      <c r="H631" s="2"/>
      <c r="K631" s="2"/>
      <c r="L631" s="2"/>
    </row>
    <row r="632">
      <c r="C632" s="9"/>
      <c r="D632" s="13"/>
      <c r="E632" s="20"/>
      <c r="F632" s="116"/>
      <c r="G632" s="2"/>
      <c r="H632" s="2"/>
      <c r="K632" s="2"/>
      <c r="L632" s="2"/>
    </row>
    <row r="633">
      <c r="C633" s="9"/>
      <c r="D633" s="13"/>
      <c r="E633" s="20"/>
      <c r="F633" s="116"/>
      <c r="G633" s="2"/>
      <c r="H633" s="2"/>
      <c r="K633" s="2"/>
      <c r="L633" s="2"/>
    </row>
    <row r="634">
      <c r="C634" s="9"/>
      <c r="D634" s="13"/>
      <c r="E634" s="20"/>
      <c r="F634" s="116"/>
      <c r="G634" s="2"/>
      <c r="H634" s="2"/>
      <c r="K634" s="2"/>
      <c r="L634" s="2"/>
    </row>
    <row r="635">
      <c r="C635" s="9"/>
      <c r="D635" s="13"/>
      <c r="E635" s="20"/>
      <c r="F635" s="116"/>
      <c r="G635" s="2"/>
      <c r="H635" s="2"/>
      <c r="K635" s="2"/>
      <c r="L635" s="2"/>
    </row>
    <row r="636">
      <c r="C636" s="9"/>
      <c r="D636" s="125"/>
      <c r="E636" s="20"/>
      <c r="F636" s="116"/>
      <c r="G636" s="2"/>
      <c r="H636" s="2"/>
      <c r="K636" s="2"/>
      <c r="L636" s="2"/>
    </row>
    <row r="637">
      <c r="C637" s="9"/>
      <c r="D637" s="60"/>
      <c r="E637" s="20"/>
      <c r="F637" s="116"/>
      <c r="G637" s="2"/>
      <c r="H637" s="2"/>
      <c r="K637" s="2"/>
      <c r="L637" s="2"/>
    </row>
    <row r="638">
      <c r="C638" s="9"/>
      <c r="D638" s="60"/>
      <c r="E638" s="20"/>
      <c r="F638" s="116"/>
      <c r="G638" s="2"/>
      <c r="H638" s="2"/>
      <c r="K638" s="2"/>
      <c r="L638" s="2"/>
    </row>
    <row r="639">
      <c r="C639" s="9"/>
      <c r="D639" s="60"/>
      <c r="E639" s="20"/>
      <c r="F639" s="116"/>
      <c r="G639" s="2"/>
      <c r="H639" s="2"/>
      <c r="K639" s="2"/>
      <c r="L639" s="2"/>
    </row>
    <row r="640">
      <c r="C640" s="9"/>
      <c r="D640" s="114"/>
      <c r="E640" s="20"/>
      <c r="F640" s="116"/>
      <c r="G640" s="2"/>
      <c r="H640" s="2"/>
      <c r="K640" s="2"/>
      <c r="L640" s="2"/>
    </row>
    <row r="641">
      <c r="C641" s="9"/>
      <c r="D641" s="114"/>
      <c r="E641" s="20"/>
      <c r="F641" s="116"/>
      <c r="G641" s="2"/>
      <c r="H641" s="2"/>
      <c r="K641" s="2"/>
      <c r="L641" s="2"/>
    </row>
    <row r="642">
      <c r="C642" s="9"/>
      <c r="D642" s="60"/>
      <c r="E642" s="20"/>
      <c r="F642" s="116"/>
      <c r="G642" s="2"/>
      <c r="H642" s="2"/>
      <c r="K642" s="2"/>
      <c r="L642" s="2"/>
    </row>
    <row r="643">
      <c r="C643" s="9"/>
      <c r="D643" s="60"/>
      <c r="E643" s="20"/>
      <c r="F643" s="116"/>
      <c r="G643" s="2"/>
      <c r="H643" s="2"/>
      <c r="K643" s="2"/>
      <c r="L643" s="2"/>
    </row>
    <row r="644">
      <c r="C644" s="9"/>
      <c r="D644" s="60"/>
      <c r="E644" s="20"/>
      <c r="F644" s="116"/>
      <c r="G644" s="2"/>
      <c r="H644" s="2"/>
      <c r="K644" s="2"/>
      <c r="L644" s="2"/>
    </row>
    <row r="645">
      <c r="C645" s="9"/>
      <c r="D645" s="60"/>
      <c r="E645" s="20"/>
      <c r="F645" s="116"/>
      <c r="G645" s="2"/>
      <c r="H645" s="2"/>
      <c r="K645" s="2"/>
      <c r="L645" s="2"/>
    </row>
    <row r="646">
      <c r="C646" s="9"/>
      <c r="D646" s="60"/>
      <c r="E646" s="20"/>
      <c r="F646" s="116"/>
      <c r="G646" s="2"/>
      <c r="H646" s="2"/>
      <c r="K646" s="2"/>
      <c r="L646" s="2"/>
    </row>
    <row r="647">
      <c r="C647" s="9"/>
      <c r="D647" s="60"/>
      <c r="E647" s="20"/>
      <c r="F647" s="116"/>
      <c r="G647" s="2"/>
      <c r="H647" s="2"/>
      <c r="K647" s="2"/>
      <c r="L647" s="2"/>
    </row>
    <row r="648">
      <c r="C648" s="9"/>
      <c r="D648" s="60"/>
      <c r="E648" s="20"/>
      <c r="F648" s="116"/>
      <c r="G648" s="2"/>
      <c r="H648" s="2"/>
      <c r="K648" s="2"/>
      <c r="L648" s="2"/>
    </row>
    <row r="649">
      <c r="C649" s="9"/>
      <c r="D649" s="60"/>
      <c r="E649" s="20"/>
      <c r="F649" s="116"/>
      <c r="G649" s="2"/>
      <c r="H649" s="2"/>
      <c r="K649" s="2"/>
      <c r="L649" s="2"/>
    </row>
    <row r="650">
      <c r="C650" s="9"/>
      <c r="D650" s="60"/>
      <c r="E650" s="20"/>
      <c r="F650" s="116"/>
      <c r="G650" s="2"/>
      <c r="H650" s="2"/>
      <c r="K650" s="2"/>
      <c r="L650" s="2"/>
    </row>
    <row r="651">
      <c r="C651" s="9"/>
      <c r="D651" s="60"/>
      <c r="E651" s="35"/>
      <c r="F651" s="116"/>
      <c r="G651" s="2"/>
      <c r="H651" s="2"/>
      <c r="K651" s="2"/>
      <c r="L651" s="2"/>
    </row>
    <row r="652">
      <c r="C652" s="9"/>
      <c r="D652" s="60"/>
      <c r="E652" s="35"/>
      <c r="F652" s="116"/>
      <c r="G652" s="2"/>
      <c r="H652" s="2"/>
      <c r="K652" s="2"/>
      <c r="L652" s="2"/>
    </row>
    <row r="653">
      <c r="C653" s="9"/>
      <c r="D653" s="60"/>
      <c r="E653" s="20"/>
      <c r="F653" s="116"/>
      <c r="G653" s="2"/>
      <c r="H653" s="2"/>
      <c r="K653" s="2"/>
      <c r="L653" s="2"/>
    </row>
    <row r="654">
      <c r="C654" s="9"/>
      <c r="D654" s="60"/>
      <c r="E654" s="20"/>
      <c r="F654" s="116"/>
      <c r="G654" s="2"/>
      <c r="H654" s="2"/>
      <c r="K654" s="2"/>
      <c r="L654" s="2"/>
    </row>
    <row r="655">
      <c r="C655" s="9"/>
      <c r="D655" s="60"/>
      <c r="E655" s="20"/>
      <c r="F655" s="116"/>
      <c r="G655" s="2"/>
      <c r="H655" s="2"/>
      <c r="K655" s="2"/>
      <c r="L655" s="2"/>
    </row>
    <row r="656">
      <c r="C656" s="9"/>
      <c r="D656" s="60"/>
      <c r="E656" s="20"/>
      <c r="F656" s="116"/>
      <c r="G656" s="2"/>
      <c r="H656" s="2"/>
      <c r="K656" s="2"/>
      <c r="L656" s="2"/>
    </row>
    <row r="657">
      <c r="C657" s="9"/>
      <c r="D657" s="60"/>
      <c r="E657" s="20"/>
      <c r="F657" s="116"/>
      <c r="G657" s="2"/>
      <c r="H657" s="2"/>
      <c r="K657" s="2"/>
      <c r="L657" s="2"/>
    </row>
    <row r="658">
      <c r="C658" s="9"/>
      <c r="D658" s="60"/>
      <c r="E658" s="20"/>
      <c r="F658" s="116"/>
      <c r="G658" s="2"/>
      <c r="H658" s="2"/>
      <c r="K658" s="2"/>
      <c r="L658" s="2"/>
    </row>
    <row r="659">
      <c r="C659" s="9"/>
      <c r="D659" s="60"/>
      <c r="E659" s="20"/>
      <c r="F659" s="116"/>
      <c r="G659" s="2"/>
      <c r="H659" s="2"/>
      <c r="K659" s="2"/>
      <c r="L659" s="2"/>
    </row>
    <row r="660">
      <c r="C660" s="9"/>
      <c r="D660" s="60"/>
      <c r="E660" s="20"/>
      <c r="F660" s="116"/>
      <c r="G660" s="2"/>
      <c r="H660" s="2"/>
      <c r="K660" s="2"/>
      <c r="L660" s="2"/>
    </row>
    <row r="661">
      <c r="C661" s="9"/>
      <c r="D661" s="60"/>
      <c r="E661" s="20"/>
      <c r="F661" s="116"/>
      <c r="G661" s="2"/>
      <c r="H661" s="2"/>
      <c r="K661" s="2"/>
      <c r="L661" s="2"/>
    </row>
    <row r="662">
      <c r="C662" s="9"/>
      <c r="D662" s="60"/>
      <c r="E662" s="20"/>
      <c r="F662" s="116"/>
      <c r="G662" s="2"/>
      <c r="H662" s="2"/>
      <c r="K662" s="2"/>
      <c r="L662" s="2"/>
    </row>
    <row r="663">
      <c r="C663" s="9"/>
      <c r="D663" s="10"/>
      <c r="E663" s="2"/>
      <c r="F663" s="6"/>
      <c r="G663" s="2"/>
      <c r="H663" s="2"/>
      <c r="K663" s="2"/>
      <c r="L663" s="2"/>
    </row>
    <row r="664">
      <c r="A664" s="2"/>
      <c r="B664" s="2"/>
      <c r="C664" s="58"/>
      <c r="D664" s="10"/>
      <c r="F664" s="6"/>
      <c r="H664" s="2"/>
    </row>
    <row r="665">
      <c r="A665" s="2"/>
      <c r="B665" s="2"/>
      <c r="C665" s="58"/>
      <c r="D665" s="10"/>
      <c r="F665" s="6"/>
      <c r="H665" s="2"/>
    </row>
    <row r="666">
      <c r="A666" s="2"/>
      <c r="B666" s="2"/>
      <c r="C666" s="58"/>
      <c r="D666" s="10"/>
      <c r="F666" s="6"/>
      <c r="G666" s="2"/>
      <c r="H666" s="2"/>
    </row>
    <row r="667">
      <c r="A667" s="2"/>
      <c r="B667" s="2"/>
      <c r="C667" s="58"/>
      <c r="D667" s="10"/>
      <c r="F667" s="6"/>
      <c r="H667" s="2"/>
    </row>
    <row r="668">
      <c r="A668" s="2"/>
      <c r="B668" s="2"/>
      <c r="C668" s="58"/>
      <c r="D668" s="10"/>
      <c r="F668" s="6"/>
      <c r="H668" s="2"/>
    </row>
    <row r="669">
      <c r="A669" s="2"/>
      <c r="B669" s="2"/>
      <c r="C669" s="58"/>
      <c r="D669" s="10"/>
      <c r="F669" s="6"/>
      <c r="H669" s="2"/>
    </row>
    <row r="670">
      <c r="A670" s="2"/>
      <c r="B670" s="2"/>
      <c r="C670" s="58"/>
      <c r="D670" s="10"/>
      <c r="F670" s="6"/>
      <c r="H670" s="2"/>
    </row>
    <row r="671">
      <c r="A671" s="2"/>
      <c r="B671" s="2"/>
      <c r="C671" s="58"/>
      <c r="D671" s="10"/>
      <c r="F671" s="6"/>
      <c r="G671" s="2"/>
      <c r="H671" s="2"/>
    </row>
    <row r="672">
      <c r="A672" s="2"/>
      <c r="B672" s="2"/>
      <c r="C672" s="58"/>
      <c r="D672" s="10"/>
      <c r="F672" s="6"/>
      <c r="H672" s="2"/>
    </row>
    <row r="673">
      <c r="A673" s="2"/>
      <c r="B673" s="2"/>
      <c r="C673" s="58"/>
      <c r="D673" s="10"/>
      <c r="F673" s="6"/>
      <c r="H673" s="2"/>
    </row>
    <row r="674">
      <c r="A674" s="2"/>
      <c r="B674" s="2"/>
      <c r="C674" s="58"/>
      <c r="D674" s="10"/>
      <c r="F674" s="6"/>
      <c r="H674" s="2"/>
    </row>
    <row r="675">
      <c r="A675" s="2"/>
      <c r="B675" s="2"/>
      <c r="C675" s="58"/>
      <c r="D675" s="10"/>
      <c r="F675" s="6"/>
      <c r="H675" s="2"/>
    </row>
    <row r="676">
      <c r="A676" s="2"/>
      <c r="B676" s="2"/>
      <c r="C676" s="58"/>
      <c r="D676" s="10"/>
      <c r="F676" s="6"/>
      <c r="G676" s="2"/>
      <c r="H676" s="2"/>
    </row>
    <row r="677">
      <c r="A677" s="2"/>
      <c r="B677" s="2"/>
      <c r="C677" s="58"/>
      <c r="D677" s="10"/>
      <c r="F677" s="6"/>
      <c r="H677" s="2"/>
    </row>
    <row r="678">
      <c r="A678" s="2"/>
      <c r="B678" s="2"/>
      <c r="C678" s="58"/>
      <c r="D678" s="10"/>
      <c r="F678" s="6"/>
      <c r="H678" s="2"/>
    </row>
    <row r="679">
      <c r="A679" s="2"/>
      <c r="B679" s="2"/>
      <c r="C679" s="58"/>
      <c r="D679" s="10"/>
      <c r="F679" s="6"/>
      <c r="H679" s="2"/>
    </row>
    <row r="680">
      <c r="A680" s="2"/>
      <c r="B680" s="2"/>
      <c r="C680" s="58"/>
      <c r="D680" s="10"/>
      <c r="F680" s="6"/>
      <c r="G680" s="2"/>
      <c r="H680" s="2"/>
    </row>
    <row r="681">
      <c r="A681" s="2"/>
      <c r="B681" s="2"/>
      <c r="C681" s="58"/>
      <c r="D681" s="10"/>
      <c r="F681" s="6"/>
      <c r="G681" s="2"/>
      <c r="H681" s="2"/>
    </row>
    <row r="682">
      <c r="A682" s="2"/>
      <c r="B682" s="2"/>
      <c r="C682" s="58"/>
      <c r="D682" s="10"/>
      <c r="F682" s="6"/>
      <c r="G682" s="2"/>
      <c r="H682" s="2"/>
    </row>
    <row r="683">
      <c r="A683" s="2"/>
      <c r="B683" s="2"/>
      <c r="C683" s="58"/>
      <c r="D683" s="10"/>
      <c r="F683" s="6"/>
      <c r="H683" s="2"/>
    </row>
    <row r="684">
      <c r="A684" s="2"/>
      <c r="B684" s="2"/>
      <c r="C684" s="58"/>
      <c r="D684" s="10"/>
      <c r="F684" s="6"/>
      <c r="H684" s="2"/>
    </row>
    <row r="685">
      <c r="A685" s="2"/>
      <c r="B685" s="2"/>
      <c r="C685" s="58"/>
      <c r="D685" s="10"/>
      <c r="F685" s="6"/>
      <c r="H685" s="2"/>
    </row>
    <row r="686">
      <c r="A686" s="2"/>
      <c r="B686" s="2"/>
      <c r="C686" s="58"/>
      <c r="D686" s="10"/>
      <c r="F686" s="6"/>
      <c r="G686" s="2"/>
      <c r="H686" s="2"/>
    </row>
    <row r="687">
      <c r="A687" s="2"/>
      <c r="B687" s="2"/>
      <c r="C687" s="58"/>
      <c r="D687" s="10"/>
      <c r="F687" s="6"/>
      <c r="G687" s="2"/>
      <c r="H687" s="2"/>
    </row>
    <row r="688">
      <c r="A688" s="2"/>
      <c r="B688" s="2"/>
      <c r="C688" s="58"/>
      <c r="D688" s="10"/>
      <c r="F688" s="6"/>
      <c r="G688" s="2"/>
      <c r="H688" s="2"/>
    </row>
    <row r="689">
      <c r="A689" s="2"/>
      <c r="B689" s="2"/>
      <c r="C689" s="58"/>
      <c r="D689" s="10"/>
      <c r="F689" s="6"/>
      <c r="G689" s="2"/>
      <c r="H689" s="2"/>
    </row>
    <row r="690">
      <c r="A690" s="2"/>
      <c r="B690" s="2"/>
      <c r="C690" s="58"/>
      <c r="D690" s="10"/>
      <c r="F690" s="6"/>
      <c r="G690" s="2"/>
      <c r="H690" s="2"/>
    </row>
    <row r="691">
      <c r="A691" s="2"/>
      <c r="B691" s="2"/>
      <c r="C691" s="58"/>
      <c r="D691" s="10"/>
      <c r="F691" s="6"/>
      <c r="G691" s="2"/>
      <c r="H691" s="2"/>
    </row>
    <row r="692">
      <c r="A692" s="2"/>
      <c r="B692" s="2"/>
      <c r="C692" s="58"/>
      <c r="D692" s="10"/>
      <c r="F692" s="6"/>
      <c r="H692" s="2"/>
    </row>
    <row r="693">
      <c r="A693" s="2"/>
      <c r="B693" s="2"/>
      <c r="C693" s="58"/>
      <c r="D693" s="10"/>
      <c r="F693" s="6"/>
      <c r="H693" s="2"/>
    </row>
    <row r="694">
      <c r="A694" s="2"/>
      <c r="B694" s="2"/>
      <c r="C694" s="58"/>
      <c r="D694" s="10"/>
      <c r="F694" s="6"/>
      <c r="G694" s="2"/>
      <c r="H694" s="2"/>
    </row>
    <row r="695">
      <c r="A695" s="2"/>
      <c r="B695" s="2"/>
      <c r="C695" s="58"/>
      <c r="D695" s="10"/>
      <c r="F695" s="6"/>
      <c r="G695" s="2"/>
      <c r="H695" s="2"/>
    </row>
    <row r="696">
      <c r="A696" s="2"/>
      <c r="B696" s="2"/>
      <c r="C696" s="58"/>
      <c r="D696" s="10"/>
      <c r="F696" s="6"/>
      <c r="H696" s="2"/>
    </row>
    <row r="697">
      <c r="A697" s="2"/>
      <c r="B697" s="2"/>
      <c r="C697" s="58"/>
      <c r="D697" s="10"/>
      <c r="F697" s="6"/>
      <c r="G697" s="2"/>
      <c r="H697" s="2"/>
    </row>
    <row r="698">
      <c r="A698" s="2"/>
      <c r="B698" s="2"/>
      <c r="C698" s="58"/>
      <c r="D698" s="10"/>
      <c r="F698" s="6"/>
      <c r="G698" s="2"/>
      <c r="H698" s="2"/>
    </row>
    <row r="699">
      <c r="A699" s="2"/>
      <c r="B699" s="2"/>
      <c r="C699" s="58"/>
      <c r="D699" s="10"/>
      <c r="F699" s="6"/>
      <c r="G699" s="2"/>
      <c r="H699" s="2"/>
    </row>
    <row r="700">
      <c r="A700" s="2"/>
      <c r="B700" s="2"/>
      <c r="C700" s="58"/>
      <c r="D700" s="10"/>
      <c r="F700" s="6"/>
      <c r="G700" s="2"/>
      <c r="H700" s="2"/>
    </row>
    <row r="701">
      <c r="A701" s="2"/>
      <c r="B701" s="2"/>
      <c r="C701" s="58"/>
      <c r="D701" s="10"/>
      <c r="F701" s="6"/>
      <c r="H701" s="2"/>
    </row>
    <row r="702">
      <c r="A702" s="2"/>
      <c r="B702" s="2"/>
      <c r="C702" s="58"/>
      <c r="D702" s="10"/>
      <c r="F702" s="6"/>
      <c r="H702" s="2"/>
    </row>
    <row r="703">
      <c r="A703" s="2"/>
      <c r="B703" s="2"/>
      <c r="C703" s="58"/>
      <c r="D703" s="10"/>
      <c r="F703" s="6"/>
      <c r="H703" s="2"/>
    </row>
    <row r="704">
      <c r="A704" s="2"/>
      <c r="B704" s="2"/>
      <c r="C704" s="58"/>
      <c r="D704" s="10"/>
      <c r="F704" s="6"/>
      <c r="G704" s="2"/>
      <c r="H704" s="2"/>
    </row>
    <row r="705">
      <c r="A705" s="2"/>
      <c r="B705" s="2"/>
      <c r="C705" s="58"/>
      <c r="D705" s="10"/>
      <c r="F705" s="6"/>
      <c r="G705" s="2"/>
      <c r="H705" s="2"/>
    </row>
    <row r="706">
      <c r="A706" s="2"/>
      <c r="B706" s="2"/>
      <c r="C706" s="58"/>
      <c r="D706" s="10"/>
      <c r="F706" s="6"/>
      <c r="G706" s="2"/>
      <c r="H706" s="2"/>
    </row>
    <row r="707">
      <c r="A707" s="2"/>
      <c r="B707" s="2"/>
      <c r="C707" s="58"/>
      <c r="D707" s="10"/>
      <c r="F707" s="6"/>
      <c r="G707" s="2"/>
      <c r="H707" s="2"/>
    </row>
    <row r="708">
      <c r="A708" s="2"/>
      <c r="B708" s="2"/>
      <c r="C708" s="58"/>
      <c r="D708" s="10"/>
      <c r="F708" s="6"/>
      <c r="G708" s="2"/>
      <c r="H708" s="2"/>
    </row>
    <row r="709">
      <c r="A709" s="2"/>
      <c r="B709" s="2"/>
      <c r="C709" s="58"/>
      <c r="D709" s="10"/>
      <c r="F709" s="6"/>
      <c r="G709" s="2"/>
      <c r="H709" s="2"/>
    </row>
    <row r="710">
      <c r="A710" s="2"/>
      <c r="B710" s="2"/>
      <c r="C710" s="58"/>
      <c r="D710" s="10"/>
      <c r="F710" s="6"/>
      <c r="H710" s="2"/>
    </row>
    <row r="711">
      <c r="A711" s="2"/>
      <c r="B711" s="2"/>
      <c r="C711" s="58"/>
      <c r="D711" s="10"/>
      <c r="F711" s="6"/>
      <c r="H711" s="2"/>
    </row>
    <row r="712">
      <c r="A712" s="2"/>
      <c r="B712" s="2"/>
      <c r="C712" s="58"/>
      <c r="D712" s="10"/>
      <c r="F712" s="6"/>
      <c r="H712" s="2"/>
    </row>
    <row r="713">
      <c r="A713" s="2"/>
      <c r="B713" s="2"/>
      <c r="C713" s="58"/>
      <c r="D713" s="10"/>
      <c r="F713" s="6"/>
      <c r="H713" s="2"/>
    </row>
    <row r="714">
      <c r="A714" s="2"/>
      <c r="B714" s="2"/>
      <c r="C714" s="58"/>
      <c r="D714" s="10"/>
      <c r="F714" s="6"/>
      <c r="H714" s="2"/>
    </row>
    <row r="715">
      <c r="A715" s="2"/>
      <c r="B715" s="2"/>
      <c r="C715" s="58"/>
      <c r="D715" s="10"/>
      <c r="F715" s="6"/>
      <c r="H715" s="2"/>
    </row>
    <row r="716">
      <c r="A716" s="2"/>
      <c r="B716" s="2"/>
      <c r="C716" s="58"/>
      <c r="D716" s="10"/>
      <c r="F716" s="6"/>
      <c r="G716" s="2"/>
      <c r="H716" s="2"/>
    </row>
    <row r="717">
      <c r="A717" s="2"/>
      <c r="B717" s="2"/>
      <c r="C717" s="58"/>
      <c r="D717" s="10"/>
      <c r="F717" s="6"/>
      <c r="H717" s="2"/>
    </row>
    <row r="718">
      <c r="A718" s="2"/>
      <c r="B718" s="2"/>
      <c r="C718" s="58"/>
      <c r="D718" s="10"/>
      <c r="F718" s="6"/>
      <c r="H718" s="2"/>
    </row>
    <row r="719">
      <c r="A719" s="2"/>
      <c r="B719" s="2"/>
      <c r="C719" s="58"/>
      <c r="D719" s="10"/>
      <c r="F719" s="6"/>
      <c r="H719" s="2"/>
    </row>
    <row r="720">
      <c r="A720" s="2"/>
      <c r="B720" s="2"/>
      <c r="C720" s="58"/>
      <c r="D720" s="10"/>
      <c r="F720" s="6"/>
      <c r="H720" s="2"/>
    </row>
    <row r="721">
      <c r="A721" s="2"/>
      <c r="B721" s="2"/>
      <c r="C721" s="58"/>
      <c r="D721" s="10"/>
      <c r="F721" s="6"/>
      <c r="H721" s="2"/>
    </row>
    <row r="722">
      <c r="A722" s="2"/>
      <c r="B722" s="2"/>
      <c r="C722" s="58"/>
      <c r="D722" s="10"/>
      <c r="F722" s="6"/>
      <c r="G722" s="2"/>
      <c r="H722" s="2"/>
    </row>
    <row r="723">
      <c r="A723" s="2"/>
      <c r="B723" s="2"/>
      <c r="C723" s="58"/>
      <c r="D723" s="10"/>
      <c r="F723" s="6"/>
      <c r="H723" s="2"/>
    </row>
    <row r="724">
      <c r="A724" s="2"/>
      <c r="B724" s="2"/>
      <c r="C724" s="58"/>
      <c r="D724" s="10"/>
      <c r="F724" s="6"/>
      <c r="G724" s="2"/>
      <c r="H724" s="2"/>
    </row>
    <row r="725">
      <c r="A725" s="2"/>
      <c r="B725" s="2"/>
      <c r="C725" s="58"/>
      <c r="D725" s="10"/>
      <c r="F725" s="6"/>
      <c r="H725" s="2"/>
    </row>
    <row r="726">
      <c r="A726" s="2"/>
      <c r="B726" s="2"/>
      <c r="C726" s="58"/>
      <c r="D726" s="10"/>
      <c r="F726" s="6"/>
      <c r="H726" s="2"/>
    </row>
    <row r="727">
      <c r="A727" s="2"/>
      <c r="B727" s="2"/>
      <c r="C727" s="58"/>
      <c r="D727" s="10"/>
      <c r="F727" s="6"/>
      <c r="H727" s="2"/>
    </row>
    <row r="728">
      <c r="A728" s="2"/>
      <c r="B728" s="2"/>
      <c r="C728" s="58"/>
      <c r="D728" s="10"/>
      <c r="F728" s="6"/>
      <c r="H728" s="2"/>
    </row>
    <row r="729">
      <c r="A729" s="2"/>
      <c r="B729" s="2"/>
      <c r="C729" s="58"/>
      <c r="D729" s="10"/>
      <c r="F729" s="6"/>
      <c r="H729" s="2"/>
    </row>
    <row r="730">
      <c r="A730" s="2"/>
      <c r="B730" s="2"/>
      <c r="C730" s="58"/>
      <c r="D730" s="10"/>
      <c r="F730" s="6"/>
      <c r="H730" s="2"/>
    </row>
    <row r="731">
      <c r="A731" s="2"/>
      <c r="B731" s="2"/>
      <c r="C731" s="58"/>
      <c r="D731" s="10"/>
      <c r="F731" s="6"/>
      <c r="H731" s="2"/>
    </row>
    <row r="732">
      <c r="A732" s="2"/>
      <c r="B732" s="2"/>
      <c r="C732" s="58"/>
      <c r="D732" s="10"/>
      <c r="F732" s="6"/>
      <c r="G732" s="2"/>
      <c r="H732" s="2"/>
    </row>
    <row r="733">
      <c r="A733" s="2"/>
      <c r="B733" s="2"/>
      <c r="C733" s="58"/>
      <c r="D733" s="10"/>
      <c r="F733" s="6"/>
      <c r="G733" s="2"/>
      <c r="H733" s="2"/>
    </row>
    <row r="734">
      <c r="A734" s="2"/>
      <c r="B734" s="2"/>
      <c r="C734" s="58"/>
      <c r="D734" s="10"/>
      <c r="F734" s="6"/>
      <c r="H734" s="2"/>
    </row>
    <row r="735">
      <c r="A735" s="2"/>
      <c r="B735" s="2"/>
      <c r="C735" s="58"/>
      <c r="D735" s="10"/>
      <c r="F735" s="6"/>
      <c r="H735" s="2"/>
    </row>
    <row r="736">
      <c r="A736" s="2"/>
      <c r="B736" s="2"/>
      <c r="C736" s="58"/>
      <c r="D736" s="10"/>
      <c r="F736" s="6"/>
      <c r="G736" s="2"/>
      <c r="H736" s="15" t="s">
        <v>614</v>
      </c>
    </row>
    <row r="737">
      <c r="A737" s="2"/>
      <c r="B737" s="2"/>
      <c r="C737" s="58"/>
      <c r="D737" s="10"/>
      <c r="F737" s="6"/>
      <c r="H737" s="2"/>
    </row>
    <row r="738">
      <c r="A738" s="2"/>
      <c r="B738" s="2"/>
      <c r="C738" s="58"/>
      <c r="D738" s="10"/>
      <c r="F738" s="6"/>
      <c r="H738" s="2"/>
    </row>
    <row r="739">
      <c r="A739" s="2"/>
      <c r="B739" s="2"/>
      <c r="C739" s="58"/>
      <c r="D739" s="10"/>
      <c r="F739" s="6"/>
      <c r="H739" s="15" t="s">
        <v>615</v>
      </c>
    </row>
    <row r="740">
      <c r="A740" s="2"/>
      <c r="B740" s="2"/>
      <c r="C740" s="58"/>
      <c r="D740" s="10"/>
      <c r="F740" s="6"/>
      <c r="H740" s="2"/>
    </row>
    <row r="741">
      <c r="A741" s="2"/>
      <c r="B741" s="2"/>
      <c r="C741" s="58"/>
      <c r="D741" s="10"/>
      <c r="F741" s="6"/>
      <c r="G741" s="2"/>
      <c r="H741" s="2"/>
    </row>
    <row r="742">
      <c r="A742" s="2"/>
      <c r="B742" s="2"/>
      <c r="C742" s="58"/>
      <c r="D742" s="10"/>
      <c r="F742" s="6"/>
      <c r="H742" s="2"/>
    </row>
    <row r="743">
      <c r="A743" s="2"/>
      <c r="B743" s="2"/>
      <c r="C743" s="58"/>
      <c r="D743" s="10"/>
      <c r="F743" s="6"/>
      <c r="G743" s="2"/>
      <c r="H743" s="2"/>
    </row>
    <row r="744">
      <c r="A744" s="2"/>
      <c r="B744" s="2"/>
      <c r="C744" s="58"/>
      <c r="D744" s="10"/>
      <c r="F744" s="6"/>
      <c r="G744" s="2"/>
      <c r="H744" s="2"/>
    </row>
    <row r="745">
      <c r="A745" s="2"/>
      <c r="B745" s="2"/>
      <c r="C745" s="58"/>
      <c r="D745" s="10"/>
      <c r="F745" s="6"/>
      <c r="G745" s="2"/>
      <c r="H745" s="2"/>
    </row>
    <row r="746">
      <c r="A746" s="2"/>
      <c r="B746" s="2"/>
      <c r="C746" s="58"/>
      <c r="D746" s="10"/>
      <c r="F746" s="6"/>
      <c r="G746" s="2"/>
      <c r="H746" s="2"/>
    </row>
    <row r="747">
      <c r="A747" s="2"/>
      <c r="B747" s="2"/>
      <c r="C747" s="58"/>
      <c r="D747" s="10"/>
      <c r="F747" s="6"/>
      <c r="G747" s="2"/>
      <c r="H747" s="2"/>
    </row>
    <row r="748">
      <c r="A748" s="2"/>
      <c r="B748" s="2"/>
      <c r="C748" s="58"/>
      <c r="D748" s="10"/>
      <c r="E748" s="2"/>
      <c r="F748" s="6"/>
      <c r="G748" s="2"/>
      <c r="H748" s="2"/>
    </row>
    <row r="749">
      <c r="A749" s="2"/>
      <c r="B749" s="2"/>
      <c r="C749" s="58"/>
      <c r="D749" s="10"/>
      <c r="E749" s="2"/>
      <c r="F749" s="6"/>
      <c r="G749" s="2"/>
      <c r="H749" s="2"/>
    </row>
    <row r="750">
      <c r="A750" s="2"/>
      <c r="B750" s="2"/>
      <c r="C750" s="58"/>
      <c r="D750" s="10"/>
      <c r="E750" s="2"/>
      <c r="F750" s="6"/>
      <c r="G750" s="2"/>
      <c r="H750" s="2"/>
    </row>
    <row r="751">
      <c r="A751" s="2"/>
      <c r="B751" s="2"/>
      <c r="C751" s="58"/>
      <c r="D751" s="10"/>
      <c r="E751" s="2"/>
      <c r="F751" s="6"/>
      <c r="G751" s="2"/>
      <c r="H751" s="2"/>
    </row>
    <row r="752">
      <c r="A752" s="2"/>
      <c r="B752" s="2"/>
      <c r="C752" s="58"/>
      <c r="D752" s="10"/>
      <c r="E752" s="2"/>
      <c r="F752" s="6"/>
      <c r="G752" s="2"/>
      <c r="H752" s="2"/>
    </row>
    <row r="753">
      <c r="A753" s="2"/>
      <c r="B753" s="2"/>
      <c r="C753" s="58"/>
      <c r="D753" s="10"/>
      <c r="E753" s="2"/>
      <c r="F753" s="6"/>
      <c r="G753" s="2"/>
      <c r="H753" s="2"/>
    </row>
    <row r="754">
      <c r="A754" s="2"/>
      <c r="B754" s="2"/>
      <c r="C754" s="58"/>
      <c r="D754" s="10"/>
      <c r="E754" s="2"/>
      <c r="F754" s="6"/>
      <c r="G754" s="2"/>
      <c r="H754" s="2"/>
    </row>
    <row r="755">
      <c r="A755" s="2"/>
      <c r="B755" s="2"/>
      <c r="C755" s="58"/>
      <c r="D755" s="10"/>
      <c r="E755" s="2"/>
      <c r="F755" s="6"/>
      <c r="G755" s="2"/>
      <c r="H755" s="2"/>
    </row>
    <row r="756">
      <c r="A756" s="2"/>
      <c r="B756" s="2"/>
      <c r="C756" s="58"/>
      <c r="D756" s="10"/>
      <c r="E756" s="2"/>
      <c r="F756" s="6"/>
      <c r="G756" s="2"/>
      <c r="H756" s="2"/>
    </row>
    <row r="757">
      <c r="A757" s="2"/>
      <c r="B757" s="2"/>
      <c r="C757" s="58"/>
      <c r="D757" s="10"/>
      <c r="E757" s="2"/>
      <c r="F757" s="6"/>
      <c r="G757" s="2"/>
      <c r="H757" s="2"/>
    </row>
    <row r="758">
      <c r="A758" s="2"/>
      <c r="B758" s="2"/>
      <c r="C758" s="58"/>
      <c r="D758" s="10"/>
      <c r="E758" s="2"/>
      <c r="F758" s="6"/>
      <c r="G758" s="2"/>
      <c r="H758" s="2"/>
    </row>
    <row r="759">
      <c r="A759" s="2"/>
      <c r="B759" s="2"/>
      <c r="C759" s="58"/>
      <c r="D759" s="10"/>
      <c r="E759" s="2"/>
      <c r="F759" s="6"/>
      <c r="G759" s="2"/>
      <c r="H759" s="2"/>
    </row>
    <row r="760">
      <c r="A760" s="2"/>
      <c r="B760" s="2"/>
      <c r="C760" s="58"/>
      <c r="D760" s="10"/>
      <c r="E760" s="2"/>
      <c r="F760" s="6"/>
      <c r="G760" s="2"/>
      <c r="H760" s="2"/>
    </row>
    <row r="761">
      <c r="A761" s="2"/>
      <c r="B761" s="2"/>
      <c r="C761" s="58"/>
      <c r="D761" s="10"/>
      <c r="E761" s="2"/>
      <c r="F761" s="6"/>
      <c r="G761" s="2"/>
      <c r="H761" s="2"/>
    </row>
    <row r="762">
      <c r="A762" s="2"/>
      <c r="B762" s="2"/>
      <c r="C762" s="58"/>
      <c r="D762" s="10"/>
      <c r="E762" s="2"/>
      <c r="F762" s="6"/>
      <c r="G762" s="2"/>
      <c r="H762" s="2"/>
    </row>
    <row r="763">
      <c r="A763" s="2"/>
      <c r="B763" s="2"/>
      <c r="C763" s="58"/>
      <c r="D763" s="10"/>
      <c r="E763" s="2"/>
      <c r="F763" s="6"/>
      <c r="G763" s="2"/>
      <c r="H763" s="2"/>
    </row>
    <row r="764">
      <c r="A764" s="2"/>
      <c r="B764" s="2"/>
      <c r="C764" s="58"/>
      <c r="D764" s="10"/>
      <c r="E764" s="2"/>
      <c r="F764" s="6"/>
      <c r="G764" s="2"/>
      <c r="H764" s="2"/>
    </row>
    <row r="765">
      <c r="A765" s="2"/>
      <c r="B765" s="2"/>
      <c r="C765" s="58"/>
      <c r="D765" s="10"/>
      <c r="E765" s="2"/>
      <c r="F765" s="6"/>
      <c r="G765" s="2"/>
      <c r="H765" s="2"/>
    </row>
    <row r="766">
      <c r="A766" s="2"/>
      <c r="B766" s="2"/>
      <c r="C766" s="58"/>
      <c r="D766" s="10"/>
      <c r="E766" s="2"/>
      <c r="F766" s="6"/>
      <c r="G766" s="2"/>
      <c r="H766" s="2"/>
    </row>
    <row r="767">
      <c r="A767" s="2"/>
      <c r="B767" s="2"/>
      <c r="C767" s="58"/>
      <c r="D767" s="10"/>
      <c r="E767" s="2"/>
      <c r="F767" s="6"/>
      <c r="G767" s="2"/>
      <c r="H767" s="2"/>
    </row>
    <row r="768">
      <c r="A768" s="2"/>
      <c r="B768" s="2"/>
      <c r="C768" s="58"/>
      <c r="D768" s="10"/>
      <c r="E768" s="2"/>
      <c r="F768" s="6"/>
      <c r="G768" s="2"/>
      <c r="H768" s="2"/>
    </row>
    <row r="769">
      <c r="A769" s="2"/>
      <c r="B769" s="2"/>
      <c r="C769" s="58"/>
      <c r="D769" s="10"/>
      <c r="E769" s="2"/>
      <c r="F769" s="6"/>
      <c r="G769" s="2"/>
      <c r="H769" s="2"/>
    </row>
    <row r="770">
      <c r="A770" s="2"/>
      <c r="B770" s="2"/>
      <c r="C770" s="58"/>
      <c r="D770" s="10"/>
      <c r="E770" s="2"/>
      <c r="F770" s="6"/>
      <c r="G770" s="2"/>
      <c r="H770" s="2"/>
    </row>
    <row r="771">
      <c r="A771" s="2"/>
      <c r="B771" s="2"/>
      <c r="C771" s="58"/>
      <c r="D771" s="10"/>
      <c r="E771" s="2"/>
      <c r="F771" s="6"/>
      <c r="G771" s="2"/>
      <c r="H771" s="2"/>
    </row>
    <row r="772">
      <c r="A772" s="2"/>
      <c r="B772" s="2"/>
      <c r="C772" s="58"/>
      <c r="D772" s="10"/>
      <c r="E772" s="2"/>
      <c r="F772" s="6"/>
      <c r="G772" s="2"/>
      <c r="H772" s="2"/>
    </row>
    <row r="773">
      <c r="A773" s="2"/>
      <c r="B773" s="2"/>
      <c r="C773" s="58"/>
      <c r="D773" s="10"/>
      <c r="E773" s="2"/>
      <c r="F773" s="6"/>
      <c r="G773" s="2"/>
      <c r="H773" s="2"/>
    </row>
    <row r="774">
      <c r="A774" s="2"/>
      <c r="B774" s="2"/>
      <c r="C774" s="58"/>
      <c r="D774" s="10"/>
      <c r="E774" s="2"/>
      <c r="F774" s="6"/>
      <c r="G774" s="2"/>
      <c r="H774" s="2"/>
    </row>
    <row r="775">
      <c r="A775" s="2"/>
      <c r="B775" s="2"/>
      <c r="C775" s="58"/>
      <c r="D775" s="10"/>
      <c r="E775" s="2"/>
      <c r="F775" s="6"/>
      <c r="G775" s="2"/>
      <c r="H775" s="2"/>
    </row>
    <row r="776">
      <c r="A776" s="2"/>
      <c r="B776" s="2"/>
      <c r="C776" s="58"/>
      <c r="D776" s="10"/>
      <c r="E776" s="2"/>
      <c r="F776" s="6"/>
      <c r="G776" s="2"/>
      <c r="H776" s="2"/>
    </row>
    <row r="777">
      <c r="A777" s="2"/>
      <c r="B777" s="2"/>
      <c r="C777" s="58"/>
      <c r="D777" s="10"/>
      <c r="E777" s="2"/>
      <c r="F777" s="6"/>
      <c r="G777" s="2"/>
      <c r="H777" s="2"/>
    </row>
    <row r="778">
      <c r="A778" s="2"/>
      <c r="B778" s="2"/>
      <c r="C778" s="58"/>
      <c r="D778" s="10"/>
      <c r="E778" s="2"/>
      <c r="F778" s="6"/>
      <c r="G778" s="2"/>
      <c r="H778" s="2"/>
    </row>
    <row r="779">
      <c r="A779" s="2"/>
      <c r="B779" s="2"/>
      <c r="C779" s="58"/>
      <c r="D779" s="10"/>
      <c r="E779" s="2"/>
      <c r="F779" s="6"/>
      <c r="G779" s="2"/>
      <c r="H779" s="2"/>
    </row>
    <row r="780">
      <c r="A780" s="2"/>
      <c r="B780" s="2"/>
      <c r="C780" s="58"/>
      <c r="D780" s="10"/>
      <c r="E780" s="2"/>
      <c r="F780" s="6"/>
      <c r="G780" s="2"/>
      <c r="H780" s="2"/>
    </row>
    <row r="781">
      <c r="A781" s="2"/>
      <c r="B781" s="2"/>
      <c r="C781" s="58"/>
      <c r="D781" s="10"/>
      <c r="E781" s="2"/>
      <c r="F781" s="6"/>
      <c r="G781" s="2"/>
      <c r="H781" s="2"/>
    </row>
    <row r="782">
      <c r="A782" s="2"/>
      <c r="B782" s="2"/>
      <c r="C782" s="58"/>
      <c r="D782" s="10"/>
      <c r="E782" s="2"/>
      <c r="F782" s="6"/>
      <c r="G782" s="2"/>
      <c r="H782" s="2"/>
    </row>
    <row r="783">
      <c r="A783" s="2"/>
      <c r="B783" s="2"/>
      <c r="C783" s="58"/>
      <c r="D783" s="10"/>
      <c r="E783" s="2"/>
      <c r="F783" s="6"/>
      <c r="G783" s="2"/>
      <c r="H783" s="2"/>
    </row>
    <row r="784">
      <c r="A784" s="2"/>
      <c r="B784" s="2"/>
      <c r="C784" s="58"/>
      <c r="D784" s="10"/>
      <c r="E784" s="2"/>
      <c r="F784" s="6"/>
      <c r="G784" s="2"/>
      <c r="H784" s="2"/>
    </row>
    <row r="785">
      <c r="A785" s="2"/>
      <c r="B785" s="2"/>
      <c r="C785" s="58"/>
      <c r="D785" s="10"/>
      <c r="E785" s="2"/>
      <c r="F785" s="6"/>
      <c r="G785" s="2"/>
      <c r="H785" s="2"/>
    </row>
    <row r="786">
      <c r="A786" s="2"/>
      <c r="B786" s="2"/>
      <c r="C786" s="58"/>
      <c r="D786" s="10"/>
      <c r="E786" s="2"/>
      <c r="F786" s="6"/>
      <c r="G786" s="2"/>
      <c r="H786" s="2"/>
    </row>
    <row r="787">
      <c r="A787" s="2"/>
      <c r="B787" s="2"/>
      <c r="C787" s="58"/>
      <c r="D787" s="10"/>
      <c r="E787" s="2"/>
      <c r="F787" s="6"/>
      <c r="G787" s="2"/>
      <c r="H787" s="2"/>
    </row>
    <row r="788">
      <c r="A788" s="2"/>
      <c r="B788" s="2"/>
      <c r="C788" s="58"/>
      <c r="D788" s="10"/>
      <c r="E788" s="2"/>
      <c r="F788" s="6"/>
      <c r="G788" s="2"/>
      <c r="H788" s="2"/>
    </row>
    <row r="789">
      <c r="A789" s="2"/>
      <c r="B789" s="2"/>
      <c r="C789" s="58"/>
      <c r="D789" s="10"/>
      <c r="E789" s="2"/>
      <c r="F789" s="6"/>
      <c r="G789" s="2"/>
      <c r="H789" s="2"/>
    </row>
    <row r="790">
      <c r="A790" s="2"/>
      <c r="B790" s="2"/>
      <c r="C790" s="58"/>
      <c r="D790" s="10"/>
      <c r="E790" s="2"/>
      <c r="F790" s="6"/>
      <c r="G790" s="2"/>
      <c r="H790" s="2"/>
    </row>
    <row r="791">
      <c r="A791" s="2"/>
      <c r="B791" s="2"/>
      <c r="C791" s="58"/>
      <c r="D791" s="10"/>
      <c r="E791" s="2"/>
      <c r="F791" s="6"/>
      <c r="G791" s="2"/>
      <c r="H791" s="2"/>
    </row>
    <row r="792">
      <c r="A792" s="2"/>
      <c r="B792" s="2"/>
      <c r="C792" s="58"/>
      <c r="D792" s="10"/>
      <c r="E792" s="2"/>
      <c r="F792" s="6"/>
      <c r="G792" s="2"/>
      <c r="H792" s="2"/>
    </row>
    <row r="793">
      <c r="A793" s="2"/>
      <c r="B793" s="2"/>
      <c r="C793" s="58"/>
      <c r="D793" s="10"/>
      <c r="E793" s="2"/>
      <c r="F793" s="6"/>
      <c r="G793" s="2"/>
      <c r="H793" s="2"/>
    </row>
    <row r="794">
      <c r="A794" s="2"/>
      <c r="B794" s="2"/>
      <c r="C794" s="58"/>
      <c r="D794" s="10"/>
      <c r="E794" s="2"/>
      <c r="F794" s="6"/>
      <c r="G794" s="2"/>
      <c r="H794" s="2"/>
    </row>
    <row r="795">
      <c r="A795" s="2"/>
      <c r="B795" s="2"/>
      <c r="C795" s="58"/>
      <c r="D795" s="10"/>
      <c r="E795" s="2"/>
      <c r="F795" s="6"/>
      <c r="G795" s="2"/>
      <c r="H795" s="2"/>
    </row>
    <row r="796">
      <c r="A796" s="2"/>
      <c r="B796" s="2"/>
      <c r="C796" s="58"/>
      <c r="D796" s="10"/>
      <c r="E796" s="2"/>
      <c r="F796" s="6"/>
      <c r="G796" s="2"/>
      <c r="H796" s="2"/>
    </row>
    <row r="797">
      <c r="A797" s="2"/>
      <c r="B797" s="2"/>
      <c r="C797" s="58"/>
      <c r="D797" s="10"/>
      <c r="E797" s="2"/>
      <c r="F797" s="6"/>
      <c r="G797" s="2"/>
      <c r="H797" s="2"/>
    </row>
    <row r="798">
      <c r="A798" s="2"/>
      <c r="B798" s="2"/>
      <c r="C798" s="58"/>
      <c r="D798" s="10"/>
      <c r="E798" s="2"/>
      <c r="F798" s="6"/>
      <c r="G798" s="2"/>
      <c r="H798" s="2"/>
    </row>
    <row r="799">
      <c r="A799" s="2"/>
      <c r="B799" s="2"/>
      <c r="C799" s="58"/>
      <c r="D799" s="10"/>
      <c r="E799" s="2"/>
      <c r="F799" s="6"/>
      <c r="G799" s="2"/>
      <c r="H799" s="2"/>
    </row>
    <row r="800">
      <c r="A800" s="2"/>
      <c r="B800" s="2"/>
      <c r="C800" s="58"/>
      <c r="D800" s="10"/>
      <c r="E800" s="2"/>
      <c r="F800" s="6"/>
      <c r="G800" s="2"/>
      <c r="H800" s="2"/>
    </row>
    <row r="801">
      <c r="A801" s="2"/>
      <c r="B801" s="2"/>
      <c r="C801" s="58"/>
      <c r="D801" s="10"/>
      <c r="E801" s="2"/>
      <c r="F801" s="6"/>
      <c r="G801" s="2"/>
      <c r="H801" s="2"/>
    </row>
    <row r="802">
      <c r="A802" s="2"/>
      <c r="B802" s="2"/>
      <c r="C802" s="58"/>
      <c r="D802" s="10"/>
      <c r="E802" s="2"/>
      <c r="F802" s="6"/>
      <c r="G802" s="2"/>
      <c r="H802" s="2"/>
    </row>
    <row r="803">
      <c r="A803" s="2"/>
      <c r="B803" s="2"/>
      <c r="C803" s="58"/>
      <c r="D803" s="10"/>
      <c r="E803" s="2"/>
      <c r="F803" s="6"/>
      <c r="G803" s="2"/>
      <c r="H803" s="2"/>
    </row>
    <row r="804">
      <c r="A804" s="2"/>
      <c r="B804" s="2"/>
      <c r="C804" s="58"/>
      <c r="D804" s="10"/>
      <c r="E804" s="2"/>
      <c r="F804" s="6"/>
      <c r="G804" s="2"/>
      <c r="H804" s="2"/>
    </row>
    <row r="805">
      <c r="A805" s="2"/>
      <c r="B805" s="2"/>
      <c r="C805" s="58"/>
      <c r="D805" s="10"/>
      <c r="E805" s="2"/>
      <c r="F805" s="6"/>
      <c r="G805" s="2"/>
      <c r="H805" s="2"/>
    </row>
    <row r="806">
      <c r="A806" s="2"/>
      <c r="B806" s="2"/>
      <c r="C806" s="58"/>
      <c r="D806" s="10"/>
      <c r="E806" s="2"/>
      <c r="F806" s="6"/>
      <c r="G806" s="2"/>
      <c r="H806" s="2"/>
    </row>
    <row r="807">
      <c r="A807" s="2"/>
      <c r="B807" s="2"/>
      <c r="C807" s="58"/>
      <c r="D807" s="10"/>
      <c r="E807" s="2"/>
      <c r="F807" s="6"/>
      <c r="G807" s="2"/>
      <c r="H807" s="2"/>
    </row>
    <row r="808">
      <c r="A808" s="2"/>
      <c r="B808" s="2"/>
      <c r="C808" s="58"/>
      <c r="D808" s="10"/>
      <c r="E808" s="2"/>
      <c r="F808" s="6"/>
      <c r="G808" s="2"/>
      <c r="H808" s="2"/>
    </row>
    <row r="809">
      <c r="A809" s="2"/>
      <c r="B809" s="2"/>
      <c r="C809" s="58"/>
      <c r="D809" s="10"/>
      <c r="E809" s="2"/>
      <c r="F809" s="6"/>
      <c r="G809" s="2"/>
      <c r="H809" s="2"/>
    </row>
    <row r="810">
      <c r="A810" s="2"/>
      <c r="B810" s="2"/>
      <c r="C810" s="58"/>
      <c r="D810" s="10"/>
      <c r="E810" s="2"/>
      <c r="F810" s="6"/>
      <c r="G810" s="2"/>
      <c r="H810" s="2"/>
    </row>
    <row r="811">
      <c r="A811" s="2"/>
      <c r="B811" s="2"/>
      <c r="C811" s="58"/>
      <c r="D811" s="10"/>
      <c r="E811" s="2"/>
      <c r="F811" s="6"/>
      <c r="G811" s="2"/>
      <c r="H811" s="2"/>
    </row>
    <row r="812">
      <c r="A812" s="2"/>
      <c r="B812" s="2"/>
      <c r="C812" s="58"/>
      <c r="D812" s="10"/>
      <c r="E812" s="2"/>
      <c r="F812" s="6"/>
      <c r="G812" s="2"/>
      <c r="H812" s="2"/>
    </row>
    <row r="813">
      <c r="A813" s="2"/>
      <c r="B813" s="2"/>
      <c r="C813" s="58"/>
      <c r="D813" s="10"/>
      <c r="E813" s="2"/>
      <c r="F813" s="6"/>
      <c r="G813" s="2"/>
      <c r="H813" s="2"/>
    </row>
    <row r="814">
      <c r="A814" s="2"/>
      <c r="B814" s="2"/>
      <c r="C814" s="58"/>
      <c r="D814" s="10"/>
      <c r="E814" s="2"/>
      <c r="F814" s="6"/>
      <c r="G814" s="2"/>
      <c r="H814" s="2"/>
    </row>
    <row r="815">
      <c r="A815" s="2"/>
      <c r="B815" s="2"/>
      <c r="C815" s="58"/>
      <c r="D815" s="10"/>
      <c r="E815" s="2"/>
      <c r="F815" s="6"/>
      <c r="G815" s="2"/>
      <c r="H815" s="2"/>
    </row>
    <row r="816">
      <c r="A816" s="2"/>
      <c r="B816" s="2"/>
      <c r="C816" s="58"/>
      <c r="D816" s="10"/>
      <c r="E816" s="2"/>
      <c r="F816" s="6"/>
      <c r="G816" s="2"/>
      <c r="H816" s="2"/>
    </row>
    <row r="817">
      <c r="A817" s="2"/>
      <c r="B817" s="2"/>
      <c r="C817" s="58"/>
      <c r="D817" s="10"/>
      <c r="E817" s="2"/>
      <c r="F817" s="6"/>
      <c r="G817" s="2"/>
      <c r="H817" s="2"/>
    </row>
    <row r="818">
      <c r="A818" s="2"/>
      <c r="B818" s="2"/>
      <c r="C818" s="58"/>
      <c r="D818" s="10"/>
      <c r="E818" s="2"/>
      <c r="F818" s="6"/>
      <c r="G818" s="2"/>
      <c r="H818" s="2"/>
    </row>
    <row r="819">
      <c r="A819" s="2"/>
      <c r="B819" s="2"/>
      <c r="C819" s="58"/>
      <c r="D819" s="10"/>
      <c r="E819" s="2"/>
      <c r="F819" s="6"/>
      <c r="G819" s="2"/>
      <c r="H819" s="2"/>
    </row>
    <row r="820">
      <c r="A820" s="2"/>
      <c r="B820" s="2"/>
      <c r="C820" s="58"/>
      <c r="D820" s="10"/>
      <c r="E820" s="2"/>
      <c r="F820" s="6"/>
      <c r="G820" s="2"/>
      <c r="H820" s="2"/>
    </row>
    <row r="821">
      <c r="A821" s="2"/>
      <c r="B821" s="2"/>
      <c r="C821" s="58"/>
      <c r="D821" s="10"/>
      <c r="E821" s="2"/>
      <c r="F821" s="6"/>
      <c r="G821" s="2"/>
      <c r="H821" s="2"/>
    </row>
    <row r="822">
      <c r="A822" s="2"/>
      <c r="B822" s="2"/>
      <c r="C822" s="58"/>
      <c r="D822" s="10"/>
      <c r="E822" s="2"/>
      <c r="F822" s="6"/>
      <c r="G822" s="2"/>
      <c r="H822" s="2"/>
    </row>
    <row r="823">
      <c r="A823" s="2"/>
      <c r="B823" s="2"/>
      <c r="C823" s="58"/>
      <c r="D823" s="10"/>
      <c r="E823" s="2"/>
      <c r="F823" s="6"/>
      <c r="G823" s="2"/>
      <c r="H823" s="2"/>
    </row>
    <row r="824">
      <c r="A824" s="2"/>
      <c r="B824" s="2"/>
      <c r="C824" s="58"/>
      <c r="D824" s="10"/>
      <c r="E824" s="2"/>
      <c r="F824" s="6"/>
      <c r="G824" s="2"/>
      <c r="H824" s="2"/>
    </row>
    <row r="825">
      <c r="A825" s="2"/>
      <c r="B825" s="2"/>
      <c r="C825" s="58"/>
      <c r="D825" s="10"/>
      <c r="E825" s="2"/>
      <c r="F825" s="6"/>
      <c r="G825" s="2"/>
      <c r="H825" s="2"/>
    </row>
    <row r="826">
      <c r="A826" s="2"/>
      <c r="B826" s="2"/>
      <c r="C826" s="58"/>
      <c r="D826" s="10"/>
      <c r="E826" s="2"/>
      <c r="F826" s="6"/>
      <c r="G826" s="2"/>
      <c r="H826" s="2"/>
    </row>
    <row r="827">
      <c r="A827" s="2"/>
      <c r="B827" s="2"/>
      <c r="C827" s="58"/>
      <c r="D827" s="10"/>
      <c r="E827" s="2"/>
      <c r="F827" s="6"/>
      <c r="G827" s="2"/>
      <c r="H827" s="2"/>
    </row>
    <row r="828">
      <c r="A828" s="2"/>
      <c r="B828" s="2"/>
      <c r="C828" s="58"/>
      <c r="D828" s="10"/>
      <c r="E828" s="2"/>
      <c r="F828" s="6"/>
      <c r="G828" s="2"/>
      <c r="H828" s="2"/>
    </row>
    <row r="829">
      <c r="A829" s="2"/>
      <c r="B829" s="2"/>
      <c r="C829" s="58"/>
      <c r="D829" s="10"/>
      <c r="E829" s="2"/>
      <c r="F829" s="6"/>
      <c r="G829" s="2"/>
      <c r="H829" s="2"/>
    </row>
    <row r="830">
      <c r="A830" s="2"/>
      <c r="B830" s="2"/>
      <c r="C830" s="58"/>
      <c r="D830" s="10"/>
      <c r="E830" s="2"/>
      <c r="F830" s="6"/>
      <c r="G830" s="2"/>
      <c r="H830" s="2"/>
    </row>
    <row r="831">
      <c r="A831" s="2"/>
      <c r="B831" s="2"/>
      <c r="C831" s="58"/>
      <c r="D831" s="10"/>
      <c r="E831" s="2"/>
      <c r="F831" s="6"/>
      <c r="G831" s="2"/>
      <c r="H831" s="2"/>
    </row>
    <row r="832">
      <c r="A832" s="2"/>
      <c r="B832" s="2"/>
      <c r="C832" s="58"/>
      <c r="D832" s="10"/>
      <c r="E832" s="2"/>
      <c r="F832" s="6"/>
      <c r="G832" s="2"/>
      <c r="H832" s="2"/>
    </row>
    <row r="833">
      <c r="A833" s="2"/>
      <c r="B833" s="2"/>
      <c r="C833" s="58"/>
      <c r="D833" s="10"/>
      <c r="E833" s="2"/>
      <c r="F833" s="6"/>
      <c r="G833" s="2"/>
      <c r="H833" s="2"/>
    </row>
    <row r="834">
      <c r="A834" s="2"/>
      <c r="B834" s="2"/>
      <c r="C834" s="58"/>
      <c r="D834" s="10"/>
      <c r="E834" s="2"/>
      <c r="F834" s="6"/>
      <c r="G834" s="2"/>
      <c r="H834" s="2"/>
    </row>
    <row r="835">
      <c r="A835" s="2"/>
      <c r="B835" s="2"/>
      <c r="C835" s="58"/>
      <c r="D835" s="10"/>
      <c r="E835" s="2"/>
      <c r="F835" s="6"/>
      <c r="G835" s="2"/>
      <c r="H835" s="2"/>
    </row>
    <row r="836">
      <c r="A836" s="2"/>
      <c r="B836" s="2"/>
      <c r="C836" s="58"/>
      <c r="D836" s="10"/>
      <c r="E836" s="2"/>
      <c r="F836" s="6"/>
      <c r="G836" s="2"/>
      <c r="H836" s="2"/>
    </row>
    <row r="837">
      <c r="A837" s="2"/>
      <c r="B837" s="2"/>
      <c r="C837" s="58"/>
      <c r="D837" s="10"/>
      <c r="E837" s="2"/>
      <c r="F837" s="6"/>
      <c r="G837" s="2"/>
      <c r="H837" s="2"/>
    </row>
    <row r="838">
      <c r="A838" s="2"/>
      <c r="B838" s="2"/>
      <c r="C838" s="58"/>
      <c r="D838" s="10"/>
      <c r="E838" s="2"/>
      <c r="F838" s="6"/>
      <c r="G838" s="2"/>
      <c r="H838" s="2"/>
    </row>
    <row r="839">
      <c r="A839" s="2"/>
      <c r="B839" s="2"/>
      <c r="C839" s="58"/>
      <c r="D839" s="10"/>
      <c r="E839" s="2"/>
      <c r="F839" s="6"/>
      <c r="G839" s="2"/>
      <c r="H839" s="2"/>
    </row>
    <row r="840">
      <c r="A840" s="2"/>
      <c r="B840" s="2"/>
      <c r="C840" s="58"/>
      <c r="D840" s="10"/>
      <c r="E840" s="2"/>
      <c r="F840" s="6"/>
      <c r="G840" s="2"/>
      <c r="H840" s="2"/>
    </row>
    <row r="841">
      <c r="A841" s="2"/>
      <c r="B841" s="2"/>
      <c r="C841" s="58"/>
      <c r="D841" s="10"/>
      <c r="E841" s="2"/>
      <c r="F841" s="6"/>
      <c r="G841" s="2"/>
      <c r="H841" s="2"/>
    </row>
    <row r="842">
      <c r="A842" s="2"/>
      <c r="B842" s="2"/>
      <c r="C842" s="58"/>
      <c r="D842" s="10"/>
      <c r="E842" s="2"/>
      <c r="F842" s="6"/>
      <c r="G842" s="2"/>
      <c r="H842" s="2"/>
    </row>
    <row r="843">
      <c r="A843" s="2"/>
      <c r="B843" s="2"/>
      <c r="C843" s="58"/>
      <c r="D843" s="10"/>
      <c r="E843" s="2"/>
      <c r="F843" s="6"/>
      <c r="G843" s="2"/>
      <c r="H843" s="2"/>
    </row>
    <row r="844">
      <c r="A844" s="2"/>
      <c r="B844" s="2"/>
      <c r="C844" s="58"/>
      <c r="D844" s="10"/>
      <c r="E844" s="2"/>
      <c r="F844" s="6"/>
      <c r="G844" s="2"/>
      <c r="H844" s="2"/>
    </row>
    <row r="845">
      <c r="A845" s="2"/>
      <c r="B845" s="2"/>
      <c r="C845" s="58"/>
      <c r="D845" s="10"/>
      <c r="E845" s="2"/>
      <c r="F845" s="6"/>
      <c r="G845" s="2"/>
      <c r="H845" s="2"/>
    </row>
    <row r="846">
      <c r="A846" s="2"/>
      <c r="B846" s="2"/>
      <c r="C846" s="58"/>
      <c r="D846" s="10"/>
      <c r="E846" s="2"/>
      <c r="F846" s="6"/>
      <c r="G846" s="2"/>
      <c r="H846" s="2"/>
    </row>
    <row r="847">
      <c r="A847" s="2"/>
      <c r="B847" s="2"/>
      <c r="C847" s="58"/>
      <c r="D847" s="10"/>
      <c r="E847" s="2"/>
      <c r="F847" s="6"/>
      <c r="G847" s="2"/>
      <c r="H847" s="2"/>
    </row>
    <row r="848">
      <c r="A848" s="2"/>
      <c r="B848" s="2"/>
      <c r="C848" s="58"/>
      <c r="D848" s="10"/>
      <c r="E848" s="2"/>
      <c r="F848" s="6"/>
      <c r="G848" s="2"/>
      <c r="H848" s="2"/>
    </row>
    <row r="849">
      <c r="A849" s="2"/>
      <c r="B849" s="2"/>
      <c r="C849" s="58"/>
      <c r="D849" s="10"/>
      <c r="E849" s="2"/>
      <c r="F849" s="6"/>
      <c r="G849" s="2"/>
      <c r="H849" s="2"/>
    </row>
    <row r="850">
      <c r="A850" s="2"/>
      <c r="B850" s="2"/>
      <c r="C850" s="58"/>
      <c r="D850" s="10"/>
      <c r="E850" s="2"/>
      <c r="F850" s="6"/>
      <c r="G850" s="2"/>
      <c r="H850" s="2"/>
    </row>
    <row r="851">
      <c r="A851" s="2"/>
      <c r="B851" s="2"/>
      <c r="C851" s="58"/>
      <c r="D851" s="10"/>
      <c r="E851" s="2"/>
      <c r="F851" s="6"/>
      <c r="G851" s="2"/>
      <c r="H851" s="2"/>
    </row>
    <row r="852">
      <c r="A852" s="2"/>
      <c r="B852" s="2"/>
      <c r="C852" s="58"/>
      <c r="D852" s="10"/>
      <c r="E852" s="2"/>
      <c r="F852" s="6"/>
      <c r="G852" s="2"/>
      <c r="H852" s="2"/>
    </row>
    <row r="853">
      <c r="A853" s="2"/>
      <c r="B853" s="2"/>
      <c r="C853" s="58"/>
      <c r="D853" s="10"/>
      <c r="E853" s="2"/>
      <c r="F853" s="6"/>
      <c r="G853" s="2"/>
      <c r="H853" s="2"/>
    </row>
    <row r="854">
      <c r="A854" s="2"/>
      <c r="B854" s="2"/>
      <c r="C854" s="58"/>
      <c r="D854" s="10"/>
      <c r="E854" s="2"/>
      <c r="F854" s="6"/>
      <c r="G854" s="2"/>
      <c r="H854" s="2"/>
    </row>
    <row r="855">
      <c r="A855" s="2"/>
      <c r="B855" s="2"/>
      <c r="C855" s="58"/>
      <c r="D855" s="10"/>
      <c r="E855" s="2"/>
      <c r="F855" s="6"/>
      <c r="G855" s="2"/>
      <c r="H855" s="2"/>
    </row>
    <row r="856">
      <c r="A856" s="2"/>
      <c r="B856" s="2"/>
      <c r="C856" s="58"/>
      <c r="D856" s="10"/>
      <c r="E856" s="2"/>
      <c r="F856" s="6"/>
      <c r="G856" s="2"/>
      <c r="H856" s="2"/>
    </row>
    <row r="857">
      <c r="A857" s="2"/>
      <c r="B857" s="2"/>
      <c r="C857" s="58"/>
      <c r="D857" s="10"/>
      <c r="E857" s="2"/>
      <c r="F857" s="6"/>
      <c r="G857" s="2"/>
      <c r="H857" s="2"/>
    </row>
    <row r="858">
      <c r="A858" s="2"/>
      <c r="B858" s="2"/>
      <c r="C858" s="58"/>
      <c r="D858" s="10"/>
      <c r="E858" s="2"/>
      <c r="F858" s="6"/>
      <c r="G858" s="2"/>
      <c r="H858" s="2"/>
    </row>
    <row r="859">
      <c r="A859" s="2"/>
      <c r="B859" s="2"/>
      <c r="C859" s="58"/>
      <c r="D859" s="10"/>
      <c r="E859" s="2"/>
      <c r="F859" s="6"/>
      <c r="G859" s="2"/>
      <c r="H859" s="2"/>
    </row>
    <row r="860">
      <c r="A860" s="2"/>
      <c r="B860" s="2"/>
      <c r="C860" s="58"/>
      <c r="D860" s="10"/>
      <c r="E860" s="2"/>
      <c r="F860" s="6"/>
      <c r="G860" s="2"/>
      <c r="H860" s="2"/>
    </row>
    <row r="861">
      <c r="A861" s="2"/>
      <c r="B861" s="2"/>
      <c r="C861" s="58"/>
      <c r="D861" s="10"/>
      <c r="E861" s="2"/>
      <c r="F861" s="6"/>
      <c r="G861" s="2"/>
      <c r="H861" s="2"/>
    </row>
    <row r="862">
      <c r="A862" s="2"/>
      <c r="B862" s="2"/>
      <c r="C862" s="58"/>
      <c r="D862" s="10"/>
      <c r="E862" s="2"/>
      <c r="F862" s="6"/>
      <c r="G862" s="2"/>
      <c r="H862" s="2"/>
    </row>
    <row r="863">
      <c r="A863" s="2"/>
      <c r="B863" s="2"/>
      <c r="C863" s="58"/>
      <c r="D863" s="10"/>
      <c r="E863" s="2"/>
      <c r="F863" s="6"/>
      <c r="G863" s="2"/>
      <c r="H863" s="2"/>
    </row>
    <row r="864">
      <c r="A864" s="2"/>
      <c r="B864" s="2"/>
      <c r="C864" s="58"/>
      <c r="D864" s="10"/>
      <c r="E864" s="2"/>
      <c r="F864" s="6"/>
      <c r="G864" s="2"/>
      <c r="H864" s="2"/>
    </row>
    <row r="865">
      <c r="A865" s="2"/>
      <c r="B865" s="2"/>
      <c r="C865" s="58"/>
      <c r="D865" s="10"/>
      <c r="E865" s="2"/>
      <c r="F865" s="6"/>
      <c r="G865" s="2"/>
      <c r="H865" s="2"/>
    </row>
    <row r="866">
      <c r="A866" s="2"/>
      <c r="B866" s="2"/>
      <c r="C866" s="58"/>
      <c r="D866" s="10"/>
      <c r="E866" s="2"/>
      <c r="F866" s="6"/>
      <c r="G866" s="2"/>
      <c r="H866" s="2"/>
    </row>
    <row r="867">
      <c r="A867" s="2"/>
      <c r="B867" s="2"/>
      <c r="C867" s="58"/>
      <c r="D867" s="10"/>
      <c r="E867" s="2"/>
      <c r="F867" s="6"/>
      <c r="G867" s="2"/>
      <c r="H867" s="2"/>
    </row>
    <row r="868">
      <c r="A868" s="2"/>
      <c r="B868" s="2"/>
      <c r="C868" s="58"/>
      <c r="D868" s="10"/>
      <c r="E868" s="2"/>
      <c r="F868" s="6"/>
      <c r="G868" s="2"/>
      <c r="H868" s="2"/>
    </row>
    <row r="869">
      <c r="A869" s="2"/>
      <c r="B869" s="2"/>
      <c r="C869" s="58"/>
      <c r="D869" s="10"/>
      <c r="E869" s="2"/>
      <c r="F869" s="6"/>
      <c r="G869" s="2"/>
      <c r="H869" s="2"/>
    </row>
    <row r="870">
      <c r="A870" s="2"/>
      <c r="B870" s="2"/>
      <c r="C870" s="58"/>
      <c r="D870" s="10"/>
      <c r="E870" s="2"/>
      <c r="F870" s="6"/>
      <c r="G870" s="2"/>
      <c r="H870" s="2"/>
    </row>
    <row r="871">
      <c r="A871" s="2"/>
      <c r="B871" s="2"/>
      <c r="C871" s="58"/>
      <c r="D871" s="10"/>
      <c r="E871" s="2"/>
      <c r="F871" s="6"/>
      <c r="G871" s="2"/>
      <c r="H871" s="2"/>
    </row>
    <row r="872">
      <c r="A872" s="2"/>
      <c r="B872" s="2"/>
      <c r="C872" s="58"/>
      <c r="D872" s="10"/>
      <c r="E872" s="2"/>
      <c r="F872" s="6"/>
      <c r="G872" s="2"/>
      <c r="H872" s="2"/>
    </row>
    <row r="873">
      <c r="A873" s="2"/>
      <c r="B873" s="2"/>
      <c r="C873" s="58"/>
      <c r="D873" s="10"/>
      <c r="E873" s="2"/>
      <c r="F873" s="6"/>
      <c r="G873" s="2"/>
      <c r="H873" s="2"/>
    </row>
    <row r="874">
      <c r="A874" s="2"/>
      <c r="B874" s="2"/>
      <c r="C874" s="58"/>
      <c r="D874" s="10"/>
      <c r="E874" s="2"/>
      <c r="F874" s="6"/>
      <c r="G874" s="2"/>
      <c r="H874" s="2"/>
    </row>
    <row r="875">
      <c r="A875" s="2"/>
      <c r="B875" s="2"/>
      <c r="C875" s="58"/>
      <c r="D875" s="10"/>
      <c r="E875" s="2"/>
      <c r="F875" s="6"/>
      <c r="G875" s="2"/>
      <c r="H875" s="2"/>
    </row>
    <row r="876">
      <c r="A876" s="2"/>
      <c r="B876" s="2"/>
      <c r="C876" s="58"/>
      <c r="D876" s="10"/>
      <c r="E876" s="2"/>
      <c r="F876" s="6"/>
      <c r="G876" s="2"/>
      <c r="H876" s="2"/>
    </row>
    <row r="877">
      <c r="A877" s="2"/>
      <c r="B877" s="2"/>
      <c r="C877" s="58"/>
      <c r="D877" s="10"/>
      <c r="E877" s="2"/>
      <c r="F877" s="6"/>
      <c r="G877" s="2"/>
      <c r="H877" s="2"/>
    </row>
    <row r="878">
      <c r="A878" s="2"/>
      <c r="B878" s="2"/>
      <c r="C878" s="58"/>
      <c r="D878" s="10"/>
      <c r="E878" s="2"/>
      <c r="F878" s="6"/>
      <c r="G878" s="2"/>
      <c r="H878" s="2"/>
    </row>
    <row r="879">
      <c r="A879" s="2"/>
      <c r="B879" s="2"/>
      <c r="C879" s="58"/>
      <c r="D879" s="10"/>
      <c r="E879" s="2"/>
      <c r="F879" s="6"/>
      <c r="G879" s="2"/>
      <c r="H879" s="2"/>
    </row>
    <row r="880">
      <c r="A880" s="2"/>
      <c r="B880" s="2"/>
      <c r="C880" s="58"/>
      <c r="D880" s="10"/>
      <c r="E880" s="2"/>
      <c r="F880" s="6"/>
      <c r="G880" s="2"/>
      <c r="H880" s="2"/>
    </row>
    <row r="881">
      <c r="A881" s="2"/>
      <c r="B881" s="2"/>
      <c r="C881" s="58"/>
      <c r="D881" s="10"/>
      <c r="E881" s="2"/>
      <c r="F881" s="6"/>
      <c r="G881" s="2"/>
      <c r="H881" s="2"/>
    </row>
    <row r="882">
      <c r="A882" s="2"/>
      <c r="B882" s="2"/>
      <c r="C882" s="58"/>
      <c r="D882" s="10"/>
      <c r="E882" s="2"/>
      <c r="F882" s="6"/>
      <c r="G882" s="2"/>
      <c r="H882" s="2"/>
    </row>
    <row r="883">
      <c r="A883" s="2"/>
      <c r="B883" s="2"/>
      <c r="C883" s="58"/>
      <c r="D883" s="10"/>
      <c r="E883" s="2"/>
      <c r="F883" s="6"/>
      <c r="G883" s="2"/>
      <c r="H883" s="2"/>
    </row>
    <row r="884">
      <c r="A884" s="2"/>
      <c r="B884" s="2"/>
      <c r="C884" s="58"/>
      <c r="D884" s="10"/>
      <c r="E884" s="2"/>
      <c r="F884" s="6"/>
      <c r="G884" s="2"/>
      <c r="H884" s="2"/>
    </row>
    <row r="885">
      <c r="A885" s="2"/>
      <c r="B885" s="2"/>
      <c r="C885" s="58"/>
      <c r="D885" s="10"/>
      <c r="E885" s="2"/>
      <c r="F885" s="6"/>
      <c r="G885" s="2"/>
      <c r="H885" s="2"/>
    </row>
    <row r="886">
      <c r="A886" s="2"/>
      <c r="B886" s="2"/>
      <c r="C886" s="58"/>
      <c r="D886" s="10"/>
      <c r="E886" s="2"/>
      <c r="F886" s="6"/>
      <c r="G886" s="2"/>
      <c r="H886" s="2"/>
    </row>
    <row r="887">
      <c r="A887" s="2"/>
      <c r="B887" s="2"/>
      <c r="C887" s="58"/>
      <c r="D887" s="10"/>
      <c r="E887" s="2"/>
      <c r="F887" s="6"/>
      <c r="G887" s="2"/>
      <c r="H887" s="2"/>
    </row>
    <row r="888">
      <c r="A888" s="2"/>
      <c r="B888" s="2"/>
      <c r="C888" s="58"/>
      <c r="D888" s="10"/>
      <c r="E888" s="2"/>
      <c r="F888" s="6"/>
      <c r="G888" s="2"/>
      <c r="H888" s="2"/>
    </row>
    <row r="889">
      <c r="A889" s="2"/>
      <c r="B889" s="2"/>
      <c r="C889" s="58"/>
      <c r="D889" s="10"/>
      <c r="E889" s="2"/>
      <c r="F889" s="6"/>
      <c r="G889" s="2"/>
      <c r="H889" s="2"/>
    </row>
    <row r="890">
      <c r="A890" s="2"/>
      <c r="B890" s="2"/>
      <c r="C890" s="58"/>
      <c r="D890" s="10"/>
      <c r="E890" s="2"/>
      <c r="F890" s="6"/>
      <c r="G890" s="2"/>
      <c r="H890" s="2"/>
    </row>
    <row r="891">
      <c r="A891" s="2"/>
      <c r="B891" s="2"/>
      <c r="C891" s="58"/>
      <c r="D891" s="10"/>
      <c r="E891" s="2"/>
      <c r="F891" s="6"/>
      <c r="G891" s="2"/>
      <c r="H891" s="2"/>
    </row>
    <row r="892">
      <c r="A892" s="2"/>
      <c r="B892" s="2"/>
      <c r="C892" s="58"/>
      <c r="D892" s="10"/>
      <c r="E892" s="2"/>
      <c r="F892" s="6"/>
      <c r="G892" s="2"/>
      <c r="H892" s="2"/>
    </row>
    <row r="893">
      <c r="A893" s="2"/>
      <c r="B893" s="2"/>
      <c r="C893" s="58"/>
      <c r="D893" s="10"/>
      <c r="E893" s="2"/>
      <c r="F893" s="6"/>
      <c r="G893" s="2"/>
      <c r="H893" s="2"/>
    </row>
    <row r="894">
      <c r="A894" s="2"/>
      <c r="B894" s="2"/>
      <c r="C894" s="58"/>
      <c r="D894" s="10"/>
      <c r="E894" s="2"/>
      <c r="F894" s="6"/>
      <c r="G894" s="2"/>
      <c r="H894" s="2"/>
    </row>
    <row r="895">
      <c r="A895" s="2"/>
      <c r="B895" s="2"/>
      <c r="C895" s="58"/>
      <c r="D895" s="10"/>
      <c r="E895" s="2"/>
      <c r="F895" s="6"/>
      <c r="G895" s="2"/>
      <c r="H895" s="2"/>
    </row>
    <row r="896">
      <c r="A896" s="2"/>
      <c r="B896" s="2"/>
      <c r="C896" s="58"/>
      <c r="D896" s="10"/>
      <c r="E896" s="2"/>
      <c r="F896" s="6"/>
      <c r="G896" s="2"/>
      <c r="H896" s="2"/>
    </row>
    <row r="897">
      <c r="A897" s="2"/>
      <c r="B897" s="2"/>
      <c r="C897" s="58"/>
      <c r="D897" s="10"/>
      <c r="E897" s="2"/>
      <c r="F897" s="6"/>
      <c r="G897" s="2"/>
      <c r="H897" s="2"/>
    </row>
    <row r="898">
      <c r="A898" s="2"/>
      <c r="B898" s="2"/>
      <c r="C898" s="58"/>
      <c r="D898" s="10"/>
      <c r="E898" s="2"/>
      <c r="F898" s="6"/>
      <c r="G898" s="2"/>
      <c r="H898" s="2"/>
    </row>
    <row r="899">
      <c r="A899" s="2"/>
      <c r="B899" s="2"/>
      <c r="C899" s="58"/>
      <c r="D899" s="10"/>
      <c r="E899" s="2"/>
      <c r="F899" s="6"/>
      <c r="G899" s="2"/>
      <c r="H899" s="2"/>
    </row>
    <row r="900">
      <c r="A900" s="2"/>
      <c r="B900" s="2"/>
      <c r="C900" s="58"/>
      <c r="D900" s="10"/>
      <c r="E900" s="2"/>
      <c r="F900" s="6"/>
      <c r="G900" s="2"/>
      <c r="H900" s="2"/>
    </row>
    <row r="901">
      <c r="A901" s="2"/>
      <c r="B901" s="2"/>
      <c r="C901" s="58"/>
      <c r="D901" s="10"/>
      <c r="E901" s="2"/>
      <c r="F901" s="6"/>
      <c r="G901" s="2"/>
      <c r="H901" s="2"/>
    </row>
    <row r="902">
      <c r="A902" s="2"/>
      <c r="B902" s="2"/>
      <c r="C902" s="58"/>
      <c r="D902" s="10"/>
      <c r="E902" s="2"/>
      <c r="F902" s="6"/>
      <c r="G902" s="2"/>
      <c r="H902" s="2"/>
    </row>
    <row r="903">
      <c r="A903" s="2"/>
      <c r="B903" s="2"/>
      <c r="C903" s="58"/>
      <c r="D903" s="10"/>
      <c r="E903" s="2"/>
      <c r="F903" s="6"/>
      <c r="G903" s="2"/>
      <c r="H903" s="2"/>
    </row>
    <row r="904">
      <c r="A904" s="2"/>
      <c r="B904" s="2"/>
      <c r="C904" s="58"/>
      <c r="D904" s="10"/>
      <c r="E904" s="2"/>
      <c r="F904" s="6"/>
      <c r="G904" s="2"/>
      <c r="H904" s="2"/>
    </row>
    <row r="905">
      <c r="A905" s="2"/>
      <c r="B905" s="2"/>
      <c r="C905" s="58"/>
      <c r="D905" s="10"/>
      <c r="E905" s="2"/>
      <c r="F905" s="6"/>
      <c r="G905" s="2"/>
      <c r="H905" s="2"/>
    </row>
    <row r="906">
      <c r="A906" s="2"/>
      <c r="B906" s="2"/>
      <c r="C906" s="58"/>
      <c r="D906" s="10"/>
      <c r="E906" s="2"/>
      <c r="F906" s="6"/>
      <c r="G906" s="2"/>
      <c r="H906" s="2"/>
    </row>
    <row r="907">
      <c r="A907" s="2"/>
      <c r="B907" s="2"/>
      <c r="C907" s="58"/>
      <c r="D907" s="10"/>
      <c r="E907" s="2"/>
      <c r="F907" s="6"/>
      <c r="G907" s="2"/>
      <c r="H907" s="2"/>
    </row>
    <row r="908">
      <c r="A908" s="2"/>
      <c r="B908" s="2"/>
      <c r="C908" s="58"/>
      <c r="D908" s="10"/>
      <c r="E908" s="2"/>
      <c r="F908" s="6"/>
      <c r="G908" s="2"/>
      <c r="H908" s="2"/>
    </row>
    <row r="909">
      <c r="A909" s="2"/>
      <c r="B909" s="2"/>
      <c r="C909" s="58"/>
      <c r="D909" s="10"/>
      <c r="E909" s="2"/>
      <c r="F909" s="6"/>
      <c r="G909" s="2"/>
      <c r="H909" s="2"/>
    </row>
    <row r="910">
      <c r="A910" s="2"/>
      <c r="B910" s="2"/>
      <c r="C910" s="58"/>
      <c r="D910" s="10"/>
      <c r="E910" s="2"/>
      <c r="F910" s="6"/>
      <c r="G910" s="2"/>
      <c r="H910" s="2"/>
    </row>
    <row r="911">
      <c r="A911" s="2"/>
      <c r="B911" s="2"/>
      <c r="C911" s="58"/>
      <c r="D911" s="10"/>
      <c r="E911" s="2"/>
      <c r="F911" s="6"/>
      <c r="G911" s="2"/>
      <c r="H911" s="2"/>
    </row>
    <row r="912">
      <c r="A912" s="2"/>
      <c r="B912" s="2"/>
      <c r="C912" s="58"/>
      <c r="D912" s="10"/>
      <c r="E912" s="2"/>
      <c r="F912" s="6"/>
      <c r="G912" s="2"/>
      <c r="H912" s="2"/>
    </row>
    <row r="913">
      <c r="A913" s="2"/>
      <c r="B913" s="2"/>
      <c r="C913" s="58"/>
      <c r="D913" s="10"/>
      <c r="E913" s="2"/>
      <c r="F913" s="6"/>
      <c r="G913" s="2"/>
      <c r="H913" s="2"/>
    </row>
    <row r="914">
      <c r="A914" s="2"/>
      <c r="B914" s="2"/>
      <c r="C914" s="58"/>
      <c r="D914" s="10"/>
      <c r="E914" s="2"/>
      <c r="F914" s="6"/>
      <c r="G914" s="2"/>
      <c r="H914" s="2"/>
    </row>
    <row r="915">
      <c r="A915" s="2"/>
      <c r="B915" s="2"/>
      <c r="C915" s="58"/>
      <c r="D915" s="10"/>
      <c r="E915" s="2"/>
      <c r="F915" s="6"/>
      <c r="G915" s="2"/>
      <c r="H915" s="2"/>
    </row>
    <row r="916">
      <c r="A916" s="2"/>
      <c r="B916" s="2"/>
      <c r="C916" s="58"/>
      <c r="D916" s="10"/>
      <c r="E916" s="2"/>
      <c r="F916" s="6"/>
      <c r="G916" s="2"/>
      <c r="H916" s="2"/>
    </row>
    <row r="917">
      <c r="A917" s="2"/>
      <c r="B917" s="2"/>
      <c r="C917" s="58"/>
      <c r="D917" s="10"/>
      <c r="E917" s="2"/>
      <c r="F917" s="6"/>
      <c r="G917" s="2"/>
      <c r="H917" s="2"/>
    </row>
    <row r="918">
      <c r="A918" s="2"/>
      <c r="B918" s="2"/>
      <c r="C918" s="58"/>
      <c r="D918" s="10"/>
      <c r="E918" s="2"/>
      <c r="F918" s="6"/>
      <c r="G918" s="2"/>
      <c r="H918" s="2"/>
    </row>
    <row r="919">
      <c r="A919" s="2"/>
      <c r="B919" s="2"/>
      <c r="C919" s="58"/>
      <c r="D919" s="10"/>
      <c r="E919" s="2"/>
      <c r="F919" s="6"/>
      <c r="G919" s="2"/>
      <c r="H919" s="2"/>
    </row>
    <row r="920">
      <c r="A920" s="2"/>
      <c r="B920" s="2"/>
      <c r="C920" s="58"/>
      <c r="D920" s="10"/>
      <c r="E920" s="2"/>
      <c r="F920" s="6"/>
      <c r="G920" s="2"/>
      <c r="H920" s="2"/>
    </row>
    <row r="921">
      <c r="A921" s="2"/>
      <c r="B921" s="2"/>
      <c r="C921" s="58"/>
      <c r="D921" s="10"/>
      <c r="E921" s="2"/>
      <c r="F921" s="6"/>
      <c r="G921" s="2"/>
      <c r="H921" s="2"/>
    </row>
    <row r="922">
      <c r="A922" s="2"/>
      <c r="B922" s="2"/>
      <c r="C922" s="58"/>
      <c r="D922" s="10"/>
      <c r="E922" s="2"/>
      <c r="F922" s="6"/>
      <c r="G922" s="2"/>
      <c r="H922" s="2"/>
    </row>
    <row r="923">
      <c r="A923" s="2"/>
      <c r="B923" s="2"/>
      <c r="C923" s="58"/>
      <c r="D923" s="10"/>
      <c r="E923" s="2"/>
      <c r="F923" s="6"/>
      <c r="G923" s="2"/>
      <c r="H923" s="2"/>
    </row>
    <row r="924">
      <c r="A924" s="2"/>
      <c r="B924" s="2"/>
      <c r="C924" s="58"/>
      <c r="D924" s="10"/>
      <c r="E924" s="2"/>
      <c r="F924" s="6"/>
      <c r="G924" s="2"/>
      <c r="H924" s="2"/>
    </row>
    <row r="925">
      <c r="A925" s="2"/>
      <c r="B925" s="2"/>
      <c r="C925" s="58"/>
      <c r="D925" s="10"/>
      <c r="E925" s="2"/>
      <c r="F925" s="6"/>
      <c r="G925" s="2"/>
      <c r="H925" s="2"/>
    </row>
    <row r="926">
      <c r="A926" s="2"/>
      <c r="B926" s="2"/>
      <c r="C926" s="58"/>
      <c r="D926" s="10"/>
      <c r="E926" s="2"/>
      <c r="F926" s="6"/>
      <c r="G926" s="2"/>
      <c r="H926" s="2"/>
    </row>
    <row r="927">
      <c r="A927" s="2"/>
      <c r="B927" s="2"/>
      <c r="C927" s="58"/>
      <c r="D927" s="10"/>
      <c r="E927" s="2"/>
      <c r="F927" s="6"/>
      <c r="G927" s="2"/>
      <c r="H927" s="2"/>
    </row>
    <row r="928">
      <c r="A928" s="2"/>
      <c r="B928" s="2"/>
      <c r="C928" s="58"/>
      <c r="D928" s="10"/>
      <c r="E928" s="2"/>
      <c r="F928" s="6"/>
      <c r="G928" s="2"/>
      <c r="H928" s="2"/>
    </row>
    <row r="929">
      <c r="A929" s="2"/>
      <c r="B929" s="2"/>
      <c r="C929" s="58"/>
      <c r="D929" s="10"/>
      <c r="E929" s="2"/>
      <c r="F929" s="6"/>
      <c r="G929" s="2"/>
      <c r="H929" s="2"/>
    </row>
    <row r="930">
      <c r="A930" s="2"/>
      <c r="B930" s="2"/>
      <c r="C930" s="58"/>
      <c r="D930" s="10"/>
      <c r="E930" s="2"/>
      <c r="F930" s="6"/>
      <c r="G930" s="2"/>
      <c r="H930" s="2"/>
    </row>
    <row r="931">
      <c r="A931" s="2"/>
      <c r="B931" s="2"/>
      <c r="C931" s="58"/>
      <c r="D931" s="10"/>
      <c r="E931" s="2"/>
      <c r="F931" s="6"/>
      <c r="G931" s="2"/>
      <c r="H931" s="2"/>
    </row>
    <row r="932">
      <c r="A932" s="2"/>
      <c r="B932" s="2"/>
      <c r="C932" s="58"/>
      <c r="D932" s="10"/>
      <c r="E932" s="2"/>
      <c r="F932" s="6"/>
      <c r="G932" s="2"/>
      <c r="H932" s="2"/>
    </row>
    <row r="933">
      <c r="A933" s="2"/>
      <c r="B933" s="2"/>
      <c r="C933" s="58"/>
      <c r="D933" s="10"/>
      <c r="E933" s="2"/>
      <c r="F933" s="6"/>
      <c r="G933" s="2"/>
      <c r="H933" s="2"/>
    </row>
    <row r="934">
      <c r="A934" s="2"/>
      <c r="B934" s="2"/>
      <c r="C934" s="58"/>
      <c r="D934" s="10"/>
      <c r="E934" s="2"/>
      <c r="F934" s="6"/>
      <c r="G934" s="2"/>
      <c r="H934" s="2"/>
    </row>
    <row r="935">
      <c r="A935" s="2"/>
      <c r="B935" s="2"/>
      <c r="C935" s="58"/>
      <c r="D935" s="10"/>
      <c r="E935" s="2"/>
      <c r="F935" s="6"/>
      <c r="G935" s="2"/>
      <c r="H935" s="2"/>
    </row>
    <row r="936">
      <c r="A936" s="2"/>
      <c r="B936" s="2"/>
      <c r="C936" s="58"/>
      <c r="D936" s="10"/>
      <c r="E936" s="2"/>
      <c r="F936" s="6"/>
      <c r="G936" s="2"/>
      <c r="H936" s="2"/>
    </row>
    <row r="937">
      <c r="A937" s="2"/>
      <c r="B937" s="2"/>
      <c r="C937" s="58"/>
      <c r="D937" s="10"/>
      <c r="E937" s="2"/>
      <c r="F937" s="6"/>
      <c r="G937" s="2"/>
      <c r="H937" s="2"/>
    </row>
    <row r="938">
      <c r="A938" s="2"/>
      <c r="B938" s="2"/>
      <c r="C938" s="58"/>
      <c r="D938" s="10"/>
      <c r="E938" s="2"/>
      <c r="F938" s="6"/>
      <c r="G938" s="2"/>
      <c r="H938" s="2"/>
    </row>
    <row r="939">
      <c r="A939" s="2"/>
      <c r="B939" s="2"/>
      <c r="C939" s="58"/>
      <c r="D939" s="10"/>
      <c r="E939" s="2"/>
      <c r="F939" s="6"/>
      <c r="G939" s="2"/>
      <c r="H939" s="2"/>
    </row>
    <row r="940">
      <c r="A940" s="2"/>
      <c r="B940" s="2"/>
      <c r="C940" s="58"/>
      <c r="D940" s="10"/>
      <c r="E940" s="2"/>
      <c r="F940" s="6"/>
      <c r="G940" s="2"/>
      <c r="H940" s="2"/>
    </row>
    <row r="941">
      <c r="A941" s="2"/>
      <c r="B941" s="2"/>
      <c r="C941" s="58"/>
      <c r="D941" s="10"/>
      <c r="E941" s="2"/>
      <c r="F941" s="6"/>
      <c r="G941" s="2"/>
      <c r="H941" s="2"/>
    </row>
    <row r="942">
      <c r="A942" s="2"/>
      <c r="B942" s="2"/>
      <c r="C942" s="58"/>
      <c r="D942" s="10"/>
      <c r="E942" s="2"/>
      <c r="F942" s="6"/>
      <c r="G942" s="2"/>
      <c r="H942" s="2"/>
    </row>
    <row r="943">
      <c r="A943" s="2"/>
      <c r="B943" s="2"/>
      <c r="C943" s="58"/>
      <c r="D943" s="10"/>
      <c r="E943" s="2"/>
      <c r="F943" s="6"/>
      <c r="G943" s="2"/>
      <c r="H943" s="2"/>
    </row>
    <row r="944">
      <c r="A944" s="2"/>
      <c r="B944" s="2"/>
      <c r="C944" s="58"/>
      <c r="D944" s="10"/>
      <c r="E944" s="2"/>
      <c r="F944" s="6"/>
      <c r="G944" s="2"/>
      <c r="H944" s="2"/>
    </row>
    <row r="945">
      <c r="A945" s="2"/>
      <c r="B945" s="2"/>
      <c r="C945" s="58"/>
      <c r="D945" s="10"/>
      <c r="E945" s="2"/>
      <c r="F945" s="6"/>
      <c r="G945" s="2"/>
      <c r="H945" s="2"/>
    </row>
    <row r="946">
      <c r="A946" s="2"/>
      <c r="B946" s="2"/>
      <c r="C946" s="58"/>
      <c r="D946" s="10"/>
      <c r="E946" s="2"/>
      <c r="F946" s="6"/>
      <c r="G946" s="2"/>
      <c r="H946" s="2"/>
    </row>
    <row r="947">
      <c r="A947" s="2"/>
      <c r="B947" s="2"/>
      <c r="C947" s="58"/>
      <c r="D947" s="10"/>
      <c r="E947" s="2"/>
      <c r="F947" s="6"/>
      <c r="G947" s="2"/>
      <c r="H947" s="2"/>
    </row>
    <row r="948">
      <c r="A948" s="2"/>
      <c r="B948" s="2"/>
      <c r="C948" s="58"/>
      <c r="D948" s="10"/>
      <c r="E948" s="2"/>
      <c r="F948" s="6"/>
      <c r="G948" s="2"/>
      <c r="H948" s="2"/>
    </row>
    <row r="949">
      <c r="A949" s="2"/>
      <c r="B949" s="2"/>
      <c r="C949" s="58"/>
      <c r="D949" s="10"/>
      <c r="E949" s="2"/>
      <c r="F949" s="6"/>
      <c r="G949" s="2"/>
      <c r="H949" s="2"/>
    </row>
    <row r="950">
      <c r="A950" s="2"/>
      <c r="B950" s="2"/>
      <c r="C950" s="58"/>
      <c r="D950" s="10"/>
      <c r="E950" s="2"/>
      <c r="F950" s="6"/>
      <c r="G950" s="2"/>
      <c r="H950" s="2"/>
    </row>
    <row r="951">
      <c r="A951" s="2"/>
      <c r="B951" s="2"/>
      <c r="C951" s="58"/>
      <c r="D951" s="10"/>
      <c r="E951" s="2"/>
      <c r="F951" s="6"/>
      <c r="G951" s="2"/>
      <c r="H951" s="2"/>
    </row>
    <row r="952">
      <c r="A952" s="2"/>
      <c r="B952" s="2"/>
      <c r="C952" s="58"/>
      <c r="D952" s="10"/>
      <c r="E952" s="2"/>
      <c r="F952" s="6"/>
      <c r="G952" s="2"/>
      <c r="H952" s="2"/>
    </row>
    <row r="953">
      <c r="A953" s="2"/>
      <c r="B953" s="2"/>
      <c r="C953" s="58"/>
      <c r="D953" s="10"/>
      <c r="E953" s="2"/>
      <c r="F953" s="6"/>
      <c r="G953" s="2"/>
      <c r="H953" s="2"/>
    </row>
    <row r="954">
      <c r="A954" s="2"/>
      <c r="B954" s="2"/>
      <c r="C954" s="58"/>
      <c r="D954" s="10"/>
      <c r="E954" s="2"/>
      <c r="F954" s="6"/>
      <c r="G954" s="2"/>
      <c r="H954" s="2"/>
    </row>
    <row r="955">
      <c r="A955" s="2"/>
      <c r="B955" s="2"/>
      <c r="C955" s="58"/>
      <c r="D955" s="10"/>
      <c r="E955" s="2"/>
      <c r="F955" s="6"/>
      <c r="G955" s="2"/>
      <c r="H955" s="2"/>
    </row>
    <row r="956">
      <c r="A956" s="2"/>
      <c r="B956" s="2"/>
      <c r="C956" s="58"/>
      <c r="D956" s="10"/>
      <c r="E956" s="2"/>
      <c r="F956" s="6"/>
      <c r="G956" s="2"/>
      <c r="H956" s="2"/>
    </row>
    <row r="957">
      <c r="A957" s="2"/>
      <c r="B957" s="2"/>
      <c r="C957" s="58"/>
      <c r="D957" s="10"/>
      <c r="E957" s="2"/>
      <c r="F957" s="6"/>
      <c r="G957" s="2"/>
      <c r="H957" s="2"/>
    </row>
    <row r="958">
      <c r="A958" s="2"/>
      <c r="B958" s="2"/>
      <c r="C958" s="58"/>
      <c r="D958" s="10"/>
      <c r="E958" s="2"/>
      <c r="F958" s="6"/>
      <c r="G958" s="2"/>
      <c r="H958" s="2"/>
    </row>
    <row r="959">
      <c r="A959" s="2"/>
      <c r="B959" s="2"/>
      <c r="C959" s="58"/>
      <c r="D959" s="10"/>
      <c r="E959" s="2"/>
      <c r="F959" s="6"/>
      <c r="G959" s="2"/>
      <c r="H959" s="2"/>
    </row>
    <row r="960">
      <c r="A960" s="2"/>
      <c r="B960" s="2"/>
      <c r="C960" s="58"/>
      <c r="D960" s="10"/>
      <c r="E960" s="2"/>
      <c r="F960" s="6"/>
      <c r="G960" s="2"/>
      <c r="H960" s="2"/>
    </row>
    <row r="961">
      <c r="A961" s="2"/>
      <c r="B961" s="2"/>
      <c r="C961" s="58"/>
      <c r="D961" s="10"/>
      <c r="E961" s="2"/>
      <c r="F961" s="6"/>
      <c r="G961" s="2"/>
      <c r="H961" s="2"/>
    </row>
    <row r="962">
      <c r="A962" s="2"/>
      <c r="B962" s="2"/>
      <c r="C962" s="58"/>
      <c r="D962" s="10"/>
      <c r="E962" s="2"/>
      <c r="F962" s="6"/>
      <c r="G962" s="2"/>
      <c r="H962" s="2"/>
    </row>
    <row r="963">
      <c r="A963" s="2"/>
      <c r="B963" s="2"/>
      <c r="C963" s="58"/>
      <c r="D963" s="10"/>
      <c r="E963" s="2"/>
      <c r="F963" s="6"/>
      <c r="G963" s="2"/>
      <c r="H963" s="2"/>
    </row>
    <row r="964">
      <c r="A964" s="2"/>
      <c r="B964" s="2"/>
      <c r="C964" s="58"/>
      <c r="D964" s="10"/>
      <c r="E964" s="2"/>
      <c r="F964" s="6"/>
      <c r="G964" s="2"/>
      <c r="H964" s="2"/>
    </row>
    <row r="965">
      <c r="A965" s="2"/>
      <c r="B965" s="2"/>
      <c r="C965" s="58"/>
      <c r="D965" s="10"/>
      <c r="E965" s="2"/>
      <c r="F965" s="6"/>
      <c r="G965" s="2"/>
      <c r="H965" s="2"/>
    </row>
    <row r="966">
      <c r="A966" s="2"/>
      <c r="B966" s="2"/>
      <c r="C966" s="58"/>
      <c r="D966" s="10"/>
      <c r="E966" s="2"/>
      <c r="F966" s="6"/>
      <c r="G966" s="2"/>
      <c r="H966" s="2"/>
    </row>
    <row r="967">
      <c r="A967" s="2"/>
      <c r="B967" s="2"/>
      <c r="C967" s="58"/>
      <c r="D967" s="10"/>
      <c r="E967" s="2"/>
      <c r="F967" s="6"/>
      <c r="G967" s="2"/>
      <c r="H967" s="2"/>
    </row>
    <row r="968">
      <c r="A968" s="2"/>
      <c r="B968" s="2"/>
      <c r="C968" s="58"/>
      <c r="D968" s="10"/>
      <c r="E968" s="2"/>
      <c r="F968" s="6"/>
      <c r="G968" s="2"/>
      <c r="H968" s="2"/>
    </row>
    <row r="969">
      <c r="A969" s="2"/>
      <c r="B969" s="2"/>
      <c r="C969" s="58"/>
      <c r="D969" s="10"/>
      <c r="E969" s="2"/>
      <c r="F969" s="6"/>
      <c r="G969" s="2"/>
      <c r="H969" s="2"/>
    </row>
    <row r="970">
      <c r="A970" s="2"/>
      <c r="B970" s="2"/>
      <c r="C970" s="58"/>
      <c r="D970" s="10"/>
      <c r="E970" s="2"/>
      <c r="F970" s="6"/>
      <c r="G970" s="2"/>
      <c r="H970" s="2"/>
    </row>
    <row r="971">
      <c r="A971" s="2"/>
      <c r="B971" s="2"/>
      <c r="C971" s="58"/>
      <c r="D971" s="10"/>
      <c r="E971" s="2"/>
      <c r="F971" s="6"/>
      <c r="G971" s="2"/>
      <c r="H971" s="2"/>
    </row>
    <row r="972">
      <c r="A972" s="2"/>
      <c r="B972" s="2"/>
      <c r="C972" s="58"/>
      <c r="D972" s="10"/>
      <c r="E972" s="2"/>
      <c r="F972" s="6"/>
      <c r="G972" s="2"/>
      <c r="H972" s="2"/>
    </row>
    <row r="973">
      <c r="A973" s="2"/>
      <c r="B973" s="2"/>
      <c r="C973" s="58"/>
      <c r="D973" s="10"/>
      <c r="E973" s="2"/>
      <c r="F973" s="6"/>
      <c r="G973" s="2"/>
      <c r="H973" s="2"/>
    </row>
    <row r="974">
      <c r="A974" s="2"/>
      <c r="B974" s="2"/>
      <c r="C974" s="58"/>
      <c r="D974" s="10"/>
      <c r="E974" s="2"/>
      <c r="F974" s="6"/>
      <c r="G974" s="2"/>
      <c r="H974" s="2"/>
    </row>
    <row r="975">
      <c r="A975" s="2"/>
      <c r="B975" s="2"/>
      <c r="C975" s="58"/>
      <c r="D975" s="10"/>
      <c r="E975" s="2"/>
      <c r="F975" s="6"/>
      <c r="G975" s="2"/>
      <c r="H975" s="2"/>
    </row>
    <row r="976">
      <c r="A976" s="2"/>
      <c r="B976" s="2"/>
      <c r="C976" s="58"/>
      <c r="D976" s="10"/>
      <c r="E976" s="2"/>
      <c r="F976" s="6"/>
      <c r="G976" s="2"/>
      <c r="H976" s="2"/>
    </row>
    <row r="977">
      <c r="A977" s="2"/>
      <c r="B977" s="2"/>
      <c r="C977" s="58"/>
      <c r="D977" s="10"/>
      <c r="E977" s="2"/>
      <c r="F977" s="6"/>
      <c r="G977" s="2"/>
      <c r="H977" s="2"/>
    </row>
    <row r="978">
      <c r="A978" s="2"/>
      <c r="B978" s="2"/>
      <c r="C978" s="58"/>
      <c r="D978" s="10"/>
      <c r="E978" s="2"/>
      <c r="F978" s="6"/>
      <c r="G978" s="2"/>
      <c r="H978" s="2"/>
    </row>
    <row r="979">
      <c r="A979" s="2"/>
      <c r="B979" s="2"/>
      <c r="C979" s="58"/>
      <c r="D979" s="10"/>
      <c r="E979" s="2"/>
      <c r="F979" s="6"/>
      <c r="G979" s="2"/>
      <c r="H979" s="2"/>
    </row>
    <row r="980">
      <c r="A980" s="2"/>
      <c r="B980" s="2"/>
      <c r="C980" s="58"/>
      <c r="D980" s="10"/>
      <c r="E980" s="2"/>
      <c r="F980" s="6"/>
      <c r="G980" s="2"/>
      <c r="H980" s="2"/>
    </row>
    <row r="981">
      <c r="A981" s="2"/>
      <c r="B981" s="2"/>
      <c r="C981" s="58"/>
      <c r="D981" s="10"/>
      <c r="E981" s="2"/>
      <c r="F981" s="6"/>
      <c r="G981" s="2"/>
      <c r="H981" s="2"/>
    </row>
    <row r="982">
      <c r="A982" s="2"/>
      <c r="B982" s="2"/>
      <c r="C982" s="58"/>
      <c r="D982" s="10"/>
      <c r="E982" s="2"/>
      <c r="F982" s="6"/>
      <c r="G982" s="2"/>
      <c r="H982" s="2"/>
    </row>
    <row r="983">
      <c r="A983" s="2"/>
      <c r="B983" s="2"/>
      <c r="C983" s="58"/>
      <c r="D983" s="10"/>
      <c r="E983" s="2"/>
      <c r="F983" s="6"/>
      <c r="G983" s="2"/>
      <c r="H983" s="2"/>
    </row>
    <row r="984">
      <c r="A984" s="2"/>
      <c r="B984" s="2"/>
      <c r="C984" s="58"/>
      <c r="D984" s="10"/>
      <c r="E984" s="2"/>
      <c r="F984" s="6"/>
      <c r="G984" s="2"/>
      <c r="H984" s="2"/>
    </row>
    <row r="985">
      <c r="A985" s="2"/>
      <c r="B985" s="2"/>
      <c r="C985" s="58"/>
      <c r="D985" s="10"/>
      <c r="E985" s="2"/>
      <c r="F985" s="6"/>
      <c r="G985" s="2"/>
      <c r="H985" s="2"/>
    </row>
    <row r="986">
      <c r="A986" s="2"/>
      <c r="B986" s="2"/>
      <c r="C986" s="58"/>
      <c r="D986" s="10"/>
      <c r="E986" s="2"/>
      <c r="F986" s="6"/>
      <c r="G986" s="2"/>
      <c r="H986" s="2"/>
    </row>
    <row r="987">
      <c r="A987" s="2"/>
      <c r="B987" s="2"/>
      <c r="C987" s="58"/>
      <c r="D987" s="10"/>
      <c r="E987" s="2"/>
      <c r="F987" s="6"/>
      <c r="G987" s="2"/>
      <c r="H987" s="2"/>
    </row>
    <row r="988">
      <c r="A988" s="2"/>
      <c r="B988" s="2"/>
      <c r="C988" s="58"/>
      <c r="D988" s="10"/>
      <c r="E988" s="2"/>
      <c r="F988" s="6"/>
      <c r="G988" s="2"/>
      <c r="H988" s="2"/>
    </row>
    <row r="989">
      <c r="A989" s="2"/>
      <c r="B989" s="2"/>
      <c r="C989" s="58"/>
      <c r="D989" s="10"/>
      <c r="E989" s="2"/>
      <c r="F989" s="6"/>
      <c r="G989" s="2"/>
      <c r="H989" s="2"/>
    </row>
    <row r="990">
      <c r="A990" s="2"/>
      <c r="B990" s="2"/>
      <c r="C990" s="58"/>
      <c r="D990" s="10"/>
      <c r="E990" s="2"/>
      <c r="F990" s="6"/>
      <c r="G990" s="2"/>
      <c r="H990" s="2"/>
    </row>
    <row r="991">
      <c r="A991" s="2"/>
      <c r="B991" s="2"/>
      <c r="C991" s="58"/>
      <c r="D991" s="10"/>
      <c r="E991" s="2"/>
      <c r="F991" s="6"/>
      <c r="G991" s="2"/>
      <c r="H991" s="2"/>
    </row>
    <row r="992">
      <c r="A992" s="2"/>
      <c r="B992" s="2"/>
      <c r="C992" s="58"/>
      <c r="D992" s="10"/>
      <c r="E992" s="2"/>
      <c r="F992" s="6"/>
      <c r="G992" s="2"/>
      <c r="H992" s="2"/>
    </row>
    <row r="993">
      <c r="A993" s="2"/>
      <c r="B993" s="2"/>
      <c r="C993" s="58"/>
      <c r="D993" s="10"/>
      <c r="E993" s="2"/>
      <c r="F993" s="6"/>
      <c r="G993" s="2"/>
      <c r="H993" s="2"/>
    </row>
    <row r="994">
      <c r="A994" s="2"/>
      <c r="B994" s="2"/>
      <c r="C994" s="58"/>
      <c r="D994" s="10"/>
      <c r="E994" s="2"/>
      <c r="F994" s="6"/>
      <c r="G994" s="2"/>
      <c r="H994" s="2"/>
    </row>
    <row r="995">
      <c r="A995" s="2"/>
      <c r="B995" s="2"/>
      <c r="C995" s="58"/>
      <c r="D995" s="10"/>
      <c r="E995" s="2"/>
      <c r="F995" s="6"/>
      <c r="G995" s="2"/>
      <c r="H995" s="2"/>
    </row>
    <row r="996">
      <c r="A996" s="2"/>
      <c r="B996" s="2"/>
      <c r="C996" s="58"/>
      <c r="D996" s="10"/>
      <c r="E996" s="2"/>
      <c r="F996" s="6"/>
      <c r="G996" s="2"/>
      <c r="H996" s="2"/>
    </row>
    <row r="997">
      <c r="A997" s="2"/>
      <c r="B997" s="2"/>
      <c r="C997" s="58"/>
      <c r="D997" s="10"/>
      <c r="E997" s="2"/>
      <c r="F997" s="6"/>
      <c r="G997" s="2"/>
      <c r="H997" s="2"/>
    </row>
    <row r="998">
      <c r="A998" s="2"/>
      <c r="B998" s="2"/>
      <c r="C998" s="58"/>
      <c r="D998" s="10"/>
      <c r="E998" s="2"/>
      <c r="F998" s="6"/>
      <c r="G998" s="2"/>
      <c r="H998" s="2"/>
    </row>
    <row r="999">
      <c r="A999" s="2"/>
      <c r="B999" s="2"/>
      <c r="C999" s="58"/>
      <c r="D999" s="10"/>
      <c r="E999" s="2"/>
      <c r="F999" s="6"/>
      <c r="G999" s="2"/>
      <c r="H999" s="2"/>
    </row>
    <row r="1000">
      <c r="A1000" s="2"/>
      <c r="B1000" s="2"/>
      <c r="C1000" s="58"/>
      <c r="D1000" s="10"/>
      <c r="E1000" s="2"/>
      <c r="F1000" s="6"/>
      <c r="G1000" s="2"/>
      <c r="H1000" s="2"/>
    </row>
    <row r="1001">
      <c r="A1001" s="2"/>
      <c r="B1001" s="2"/>
      <c r="C1001" s="58"/>
      <c r="D1001" s="10"/>
      <c r="E1001" s="2"/>
      <c r="F1001" s="6"/>
      <c r="G1001" s="2"/>
      <c r="H1001" s="2"/>
    </row>
    <row r="1002">
      <c r="A1002" s="2"/>
      <c r="B1002" s="2"/>
      <c r="C1002" s="58"/>
      <c r="D1002" s="10"/>
      <c r="E1002" s="2"/>
      <c r="F1002" s="6"/>
      <c r="G1002" s="2"/>
      <c r="H1002" s="2"/>
    </row>
    <row r="1003">
      <c r="A1003" s="2"/>
      <c r="B1003" s="2"/>
      <c r="C1003" s="58"/>
      <c r="D1003" s="10"/>
      <c r="E1003" s="2"/>
      <c r="F1003" s="6"/>
      <c r="G1003" s="2"/>
      <c r="H1003" s="2"/>
    </row>
    <row r="1004">
      <c r="A1004" s="2"/>
      <c r="B1004" s="2"/>
      <c r="C1004" s="58"/>
      <c r="D1004" s="10"/>
      <c r="E1004" s="2"/>
      <c r="F1004" s="6"/>
      <c r="G1004" s="2"/>
      <c r="H1004" s="2"/>
    </row>
    <row r="1005">
      <c r="A1005" s="2"/>
      <c r="B1005" s="2"/>
      <c r="C1005" s="58"/>
      <c r="D1005" s="10"/>
      <c r="E1005" s="2"/>
      <c r="F1005" s="6"/>
      <c r="G1005" s="2"/>
      <c r="H1005" s="2"/>
    </row>
    <row r="1006">
      <c r="A1006" s="2"/>
      <c r="B1006" s="2"/>
      <c r="C1006" s="58"/>
      <c r="D1006" s="10"/>
      <c r="E1006" s="2"/>
      <c r="F1006" s="6"/>
      <c r="G1006" s="2"/>
      <c r="H1006" s="2"/>
    </row>
    <row r="1007">
      <c r="A1007" s="2"/>
      <c r="B1007" s="2"/>
      <c r="C1007" s="58"/>
      <c r="D1007" s="10"/>
      <c r="E1007" s="2"/>
      <c r="F1007" s="6"/>
      <c r="G1007" s="2"/>
      <c r="H1007" s="2"/>
    </row>
    <row r="1008">
      <c r="A1008" s="2"/>
      <c r="B1008" s="2"/>
      <c r="C1008" s="58"/>
      <c r="D1008" s="10"/>
      <c r="E1008" s="2"/>
      <c r="F1008" s="6"/>
      <c r="G1008" s="2"/>
      <c r="H1008" s="2"/>
    </row>
    <row r="1009">
      <c r="A1009" s="2"/>
      <c r="B1009" s="2"/>
      <c r="C1009" s="58"/>
      <c r="D1009" s="10"/>
      <c r="E1009" s="2"/>
      <c r="F1009" s="6"/>
      <c r="G1009" s="2"/>
      <c r="H1009" s="2"/>
    </row>
    <row r="1010">
      <c r="A1010" s="2"/>
      <c r="B1010" s="2"/>
      <c r="C1010" s="58"/>
      <c r="D1010" s="10"/>
      <c r="E1010" s="2"/>
      <c r="F1010" s="6"/>
      <c r="G1010" s="2"/>
      <c r="H1010" s="2"/>
    </row>
    <row r="1011">
      <c r="A1011" s="2"/>
      <c r="B1011" s="2"/>
      <c r="C1011" s="58"/>
      <c r="D1011" s="10"/>
      <c r="E1011" s="2"/>
      <c r="F1011" s="6"/>
      <c r="G1011" s="2"/>
      <c r="H1011" s="2"/>
    </row>
    <row r="1012">
      <c r="A1012" s="2"/>
      <c r="B1012" s="2"/>
      <c r="C1012" s="58"/>
      <c r="D1012" s="10"/>
      <c r="E1012" s="2"/>
      <c r="F1012" s="6"/>
      <c r="G1012" s="2"/>
      <c r="H1012" s="2"/>
    </row>
    <row r="1013">
      <c r="A1013" s="2"/>
      <c r="B1013" s="2"/>
      <c r="C1013" s="58"/>
      <c r="D1013" s="10"/>
      <c r="E1013" s="2"/>
      <c r="F1013" s="6"/>
      <c r="G1013" s="2"/>
      <c r="H1013" s="2"/>
    </row>
    <row r="1014">
      <c r="A1014" s="2"/>
      <c r="B1014" s="2"/>
      <c r="C1014" s="58"/>
      <c r="D1014" s="10"/>
      <c r="E1014" s="2"/>
      <c r="F1014" s="6"/>
      <c r="G1014" s="2"/>
      <c r="H1014" s="2"/>
    </row>
    <row r="1015">
      <c r="A1015" s="2"/>
      <c r="B1015" s="2"/>
      <c r="C1015" s="58"/>
      <c r="D1015" s="10"/>
      <c r="E1015" s="2"/>
      <c r="F1015" s="6"/>
      <c r="G1015" s="2"/>
      <c r="H1015" s="2"/>
    </row>
    <row r="1016">
      <c r="A1016" s="2"/>
      <c r="B1016" s="2"/>
      <c r="C1016" s="58"/>
      <c r="D1016" s="10"/>
      <c r="E1016" s="2"/>
      <c r="F1016" s="6"/>
      <c r="G1016" s="2"/>
      <c r="H1016" s="2"/>
    </row>
    <row r="1017">
      <c r="A1017" s="2"/>
      <c r="B1017" s="2"/>
      <c r="C1017" s="58"/>
      <c r="D1017" s="10"/>
      <c r="E1017" s="2"/>
      <c r="F1017" s="6"/>
      <c r="G1017" s="2"/>
      <c r="H1017" s="2"/>
    </row>
    <row r="1018">
      <c r="A1018" s="2"/>
      <c r="B1018" s="2"/>
      <c r="C1018" s="58"/>
      <c r="D1018" s="10"/>
      <c r="E1018" s="2"/>
      <c r="F1018" s="6"/>
      <c r="G1018" s="2"/>
      <c r="H1018" s="2"/>
    </row>
    <row r="1019">
      <c r="A1019" s="2"/>
      <c r="B1019" s="2"/>
      <c r="C1019" s="58"/>
      <c r="D1019" s="10"/>
      <c r="E1019" s="2"/>
      <c r="F1019" s="6"/>
      <c r="G1019" s="2"/>
      <c r="H1019" s="2"/>
    </row>
    <row r="1020">
      <c r="A1020" s="2"/>
      <c r="B1020" s="2"/>
      <c r="C1020" s="58"/>
      <c r="D1020" s="10"/>
      <c r="E1020" s="2"/>
      <c r="F1020" s="6"/>
      <c r="G1020" s="2"/>
      <c r="H1020" s="2"/>
    </row>
    <row r="1021">
      <c r="A1021" s="2"/>
      <c r="B1021" s="2"/>
      <c r="C1021" s="58"/>
      <c r="D1021" s="10"/>
      <c r="E1021" s="2"/>
      <c r="F1021" s="6"/>
      <c r="G1021" s="2"/>
      <c r="H1021" s="2"/>
    </row>
    <row r="1022">
      <c r="A1022" s="2"/>
      <c r="B1022" s="2"/>
      <c r="C1022" s="58"/>
      <c r="D1022" s="10"/>
      <c r="E1022" s="2"/>
      <c r="F1022" s="6"/>
      <c r="G1022" s="2"/>
      <c r="H1022" s="2"/>
    </row>
    <row r="1023">
      <c r="A1023" s="2"/>
      <c r="B1023" s="2"/>
      <c r="C1023" s="58"/>
      <c r="D1023" s="10"/>
      <c r="E1023" s="2"/>
      <c r="F1023" s="6"/>
      <c r="G1023" s="2"/>
      <c r="H1023" s="2"/>
    </row>
    <row r="1024">
      <c r="A1024" s="2"/>
      <c r="B1024" s="2"/>
      <c r="C1024" s="58"/>
      <c r="D1024" s="10"/>
      <c r="E1024" s="2"/>
      <c r="F1024" s="6"/>
      <c r="G1024" s="2"/>
      <c r="H1024" s="2"/>
    </row>
    <row r="1025">
      <c r="A1025" s="2"/>
      <c r="B1025" s="2"/>
      <c r="C1025" s="58"/>
      <c r="D1025" s="10"/>
      <c r="E1025" s="2"/>
      <c r="F1025" s="6"/>
      <c r="G1025" s="2"/>
      <c r="H1025" s="2"/>
    </row>
    <row r="1026">
      <c r="A1026" s="2"/>
      <c r="B1026" s="2"/>
      <c r="C1026" s="58"/>
      <c r="D1026" s="10"/>
      <c r="E1026" s="2"/>
      <c r="F1026" s="6"/>
      <c r="G1026" s="2"/>
      <c r="H1026" s="2"/>
    </row>
    <row r="1027">
      <c r="A1027" s="2"/>
      <c r="B1027" s="2"/>
      <c r="C1027" s="58"/>
      <c r="D1027" s="10"/>
      <c r="E1027" s="2"/>
      <c r="F1027" s="6"/>
      <c r="G1027" s="2"/>
      <c r="H1027" s="2"/>
    </row>
    <row r="1028">
      <c r="A1028" s="2"/>
      <c r="B1028" s="2"/>
      <c r="C1028" s="58"/>
      <c r="D1028" s="10"/>
      <c r="E1028" s="2"/>
      <c r="F1028" s="6"/>
      <c r="G1028" s="2"/>
      <c r="H1028" s="2"/>
    </row>
    <row r="1029">
      <c r="A1029" s="2"/>
      <c r="B1029" s="2"/>
      <c r="C1029" s="58"/>
      <c r="D1029" s="10"/>
      <c r="E1029" s="2"/>
      <c r="F1029" s="6"/>
      <c r="G1029" s="2"/>
      <c r="H1029" s="2"/>
    </row>
    <row r="1030">
      <c r="A1030" s="2"/>
      <c r="B1030" s="2"/>
      <c r="C1030" s="58"/>
      <c r="D1030" s="10"/>
      <c r="E1030" s="2"/>
      <c r="F1030" s="6"/>
      <c r="G1030" s="2"/>
      <c r="H1030" s="2"/>
    </row>
    <row r="1031">
      <c r="A1031" s="2"/>
      <c r="B1031" s="2"/>
      <c r="C1031" s="58"/>
      <c r="D1031" s="10"/>
      <c r="E1031" s="2"/>
      <c r="F1031" s="6"/>
      <c r="G1031" s="2"/>
      <c r="H1031" s="2"/>
    </row>
    <row r="1032">
      <c r="A1032" s="2"/>
      <c r="B1032" s="2"/>
      <c r="C1032" s="58"/>
      <c r="D1032" s="10"/>
      <c r="E1032" s="2"/>
      <c r="F1032" s="6"/>
      <c r="G1032" s="2"/>
      <c r="H1032" s="2"/>
    </row>
    <row r="1033">
      <c r="A1033" s="2"/>
      <c r="B1033" s="2"/>
      <c r="C1033" s="58"/>
      <c r="D1033" s="10"/>
      <c r="E1033" s="2"/>
      <c r="F1033" s="6"/>
      <c r="G1033" s="2"/>
      <c r="H1033" s="2"/>
    </row>
    <row r="1034">
      <c r="A1034" s="2"/>
      <c r="B1034" s="2"/>
      <c r="C1034" s="58"/>
      <c r="D1034" s="10"/>
      <c r="E1034" s="2"/>
      <c r="F1034" s="6"/>
      <c r="G1034" s="2"/>
      <c r="H1034" s="2"/>
    </row>
    <row r="1035">
      <c r="A1035" s="2"/>
      <c r="B1035" s="2"/>
      <c r="C1035" s="58"/>
      <c r="D1035" s="10"/>
      <c r="E1035" s="2"/>
      <c r="F1035" s="6"/>
      <c r="G1035" s="2"/>
      <c r="H1035" s="2"/>
    </row>
    <row r="1036">
      <c r="A1036" s="2"/>
      <c r="B1036" s="2"/>
      <c r="C1036" s="58"/>
      <c r="D1036" s="10"/>
      <c r="E1036" s="2"/>
      <c r="F1036" s="6"/>
      <c r="G1036" s="2"/>
      <c r="H1036" s="2"/>
    </row>
    <row r="1037">
      <c r="A1037" s="2"/>
      <c r="B1037" s="2"/>
      <c r="C1037" s="58"/>
      <c r="D1037" s="10"/>
      <c r="E1037" s="2"/>
      <c r="F1037" s="6"/>
      <c r="G1037" s="2"/>
      <c r="H1037" s="2"/>
    </row>
    <row r="1038">
      <c r="A1038" s="2"/>
      <c r="B1038" s="2"/>
      <c r="C1038" s="58"/>
      <c r="D1038" s="10"/>
      <c r="E1038" s="2"/>
      <c r="F1038" s="6"/>
      <c r="G1038" s="2"/>
      <c r="H1038" s="2"/>
    </row>
    <row r="1039">
      <c r="A1039" s="2"/>
      <c r="B1039" s="2"/>
      <c r="C1039" s="58"/>
      <c r="D1039" s="10"/>
      <c r="E1039" s="2"/>
      <c r="F1039" s="6"/>
      <c r="G1039" s="2"/>
      <c r="H1039" s="2"/>
    </row>
    <row r="1040">
      <c r="A1040" s="2"/>
      <c r="B1040" s="2"/>
      <c r="C1040" s="58"/>
      <c r="D1040" s="10"/>
      <c r="E1040" s="2"/>
      <c r="F1040" s="6"/>
      <c r="G1040" s="2"/>
      <c r="H1040" s="2"/>
    </row>
    <row r="1041">
      <c r="A1041" s="2"/>
      <c r="B1041" s="2"/>
      <c r="C1041" s="58"/>
      <c r="D1041" s="10"/>
      <c r="E1041" s="2"/>
      <c r="F1041" s="6"/>
      <c r="G1041" s="2"/>
      <c r="H1041" s="2"/>
    </row>
    <row r="1042">
      <c r="A1042" s="2"/>
      <c r="B1042" s="2"/>
      <c r="C1042" s="58"/>
      <c r="D1042" s="10"/>
      <c r="E1042" s="2"/>
      <c r="F1042" s="6"/>
      <c r="G1042" s="2"/>
      <c r="H1042" s="2"/>
    </row>
    <row r="1043">
      <c r="A1043" s="2"/>
      <c r="B1043" s="2"/>
      <c r="C1043" s="58"/>
      <c r="D1043" s="10"/>
      <c r="E1043" s="2"/>
      <c r="F1043" s="6"/>
      <c r="G1043" s="2"/>
      <c r="H1043" s="2"/>
    </row>
    <row r="1044">
      <c r="A1044" s="2"/>
      <c r="B1044" s="2"/>
      <c r="C1044" s="58"/>
      <c r="D1044" s="10"/>
      <c r="E1044" s="2"/>
      <c r="F1044" s="6"/>
      <c r="G1044" s="2"/>
      <c r="H1044" s="2"/>
    </row>
    <row r="1045">
      <c r="A1045" s="2"/>
      <c r="B1045" s="2"/>
      <c r="C1045" s="58"/>
      <c r="D1045" s="10"/>
      <c r="E1045" s="2"/>
      <c r="F1045" s="6"/>
      <c r="G1045" s="2"/>
      <c r="H1045" s="2"/>
    </row>
    <row r="1046">
      <c r="A1046" s="2"/>
      <c r="B1046" s="2"/>
      <c r="C1046" s="58"/>
      <c r="D1046" s="10"/>
      <c r="E1046" s="2"/>
      <c r="F1046" s="6"/>
      <c r="G1046" s="2"/>
      <c r="H1046" s="2"/>
    </row>
    <row r="1047">
      <c r="A1047" s="2"/>
      <c r="B1047" s="2"/>
      <c r="C1047" s="58"/>
      <c r="D1047" s="10"/>
      <c r="E1047" s="2"/>
      <c r="F1047" s="6"/>
      <c r="G1047" s="2"/>
      <c r="H1047" s="2"/>
    </row>
    <row r="1048">
      <c r="A1048" s="2"/>
      <c r="B1048" s="2"/>
      <c r="C1048" s="58"/>
      <c r="D1048" s="10"/>
      <c r="E1048" s="2"/>
      <c r="F1048" s="6"/>
      <c r="G1048" s="2"/>
      <c r="H1048" s="2"/>
    </row>
    <row r="1049">
      <c r="A1049" s="2"/>
      <c r="B1049" s="2"/>
      <c r="C1049" s="58"/>
      <c r="D1049" s="10"/>
      <c r="E1049" s="2"/>
      <c r="F1049" s="6"/>
      <c r="G1049" s="2"/>
      <c r="H1049" s="2"/>
    </row>
    <row r="1050">
      <c r="A1050" s="2"/>
      <c r="B1050" s="2"/>
      <c r="C1050" s="58"/>
      <c r="D1050" s="10"/>
      <c r="E1050" s="2"/>
      <c r="F1050" s="6"/>
      <c r="G1050" s="2"/>
      <c r="H1050" s="2"/>
    </row>
    <row r="1051">
      <c r="A1051" s="2"/>
      <c r="B1051" s="2"/>
      <c r="C1051" s="58"/>
      <c r="D1051" s="10"/>
      <c r="E1051" s="2"/>
      <c r="F1051" s="6"/>
      <c r="G1051" s="2"/>
      <c r="H1051" s="2"/>
    </row>
    <row r="1052">
      <c r="A1052" s="2"/>
      <c r="B1052" s="2"/>
      <c r="C1052" s="58"/>
      <c r="D1052" s="10"/>
      <c r="E1052" s="2"/>
      <c r="F1052" s="6"/>
      <c r="G1052" s="2"/>
      <c r="H1052" s="2"/>
    </row>
    <row r="1053">
      <c r="A1053" s="2"/>
      <c r="B1053" s="2"/>
      <c r="C1053" s="58"/>
      <c r="D1053" s="10"/>
      <c r="E1053" s="2"/>
      <c r="F1053" s="6"/>
      <c r="G1053" s="2"/>
      <c r="H1053" s="2"/>
    </row>
    <row r="1054">
      <c r="A1054" s="2"/>
      <c r="B1054" s="2"/>
      <c r="C1054" s="58"/>
      <c r="D1054" s="10"/>
      <c r="E1054" s="2"/>
      <c r="F1054" s="6"/>
      <c r="G1054" s="2"/>
      <c r="H1054" s="2"/>
    </row>
    <row r="1055">
      <c r="A1055" s="2"/>
      <c r="B1055" s="2"/>
      <c r="C1055" s="58"/>
      <c r="D1055" s="10"/>
      <c r="E1055" s="2"/>
      <c r="F1055" s="6"/>
      <c r="G1055" s="2"/>
      <c r="H1055" s="2"/>
    </row>
    <row r="1056">
      <c r="A1056" s="2"/>
      <c r="B1056" s="2"/>
      <c r="C1056" s="58"/>
      <c r="D1056" s="10"/>
      <c r="E1056" s="2"/>
      <c r="F1056" s="6"/>
      <c r="G1056" s="2"/>
      <c r="H1056" s="2"/>
    </row>
    <row r="1057">
      <c r="A1057" s="2"/>
      <c r="B1057" s="2"/>
      <c r="C1057" s="58"/>
      <c r="D1057" s="10"/>
      <c r="E1057" s="2"/>
      <c r="F1057" s="6"/>
      <c r="G1057" s="2"/>
      <c r="H1057" s="2"/>
    </row>
    <row r="1058">
      <c r="A1058" s="2"/>
      <c r="B1058" s="2"/>
      <c r="C1058" s="58"/>
      <c r="D1058" s="10"/>
      <c r="E1058" s="2"/>
      <c r="F1058" s="6"/>
      <c r="G1058" s="2"/>
      <c r="H1058" s="2"/>
    </row>
    <row r="1059">
      <c r="A1059" s="2"/>
      <c r="B1059" s="2"/>
      <c r="C1059" s="58"/>
      <c r="D1059" s="10"/>
      <c r="E1059" s="2"/>
      <c r="F1059" s="6"/>
      <c r="G1059" s="2"/>
      <c r="H1059" s="2"/>
    </row>
    <row r="1060">
      <c r="A1060" s="2"/>
      <c r="B1060" s="2"/>
      <c r="C1060" s="58"/>
      <c r="D1060" s="10"/>
      <c r="E1060" s="2"/>
      <c r="F1060" s="6"/>
      <c r="G1060" s="2"/>
      <c r="H1060" s="2"/>
    </row>
    <row r="1061">
      <c r="A1061" s="2"/>
      <c r="B1061" s="2"/>
      <c r="C1061" s="58"/>
      <c r="D1061" s="10"/>
      <c r="E1061" s="2"/>
      <c r="F1061" s="6"/>
      <c r="G1061" s="2"/>
      <c r="H1061" s="2"/>
    </row>
    <row r="1062">
      <c r="A1062" s="2"/>
      <c r="B1062" s="2"/>
      <c r="C1062" s="58"/>
      <c r="D1062" s="10"/>
      <c r="E1062" s="2"/>
      <c r="F1062" s="6"/>
      <c r="G1062" s="2"/>
      <c r="H1062" s="2"/>
    </row>
    <row r="1063">
      <c r="A1063" s="2"/>
      <c r="B1063" s="2"/>
      <c r="C1063" s="58"/>
      <c r="D1063" s="10"/>
      <c r="E1063" s="2"/>
      <c r="F1063" s="6"/>
      <c r="G1063" s="2"/>
      <c r="H1063" s="2"/>
    </row>
    <row r="1064">
      <c r="A1064" s="2"/>
      <c r="B1064" s="2"/>
      <c r="C1064" s="58"/>
      <c r="D1064" s="10"/>
      <c r="E1064" s="2"/>
      <c r="F1064" s="6"/>
      <c r="G1064" s="2"/>
      <c r="H1064" s="2"/>
    </row>
    <row r="1065">
      <c r="A1065" s="2"/>
      <c r="B1065" s="2"/>
      <c r="C1065" s="58"/>
      <c r="D1065" s="10"/>
      <c r="E1065" s="2"/>
      <c r="F1065" s="6"/>
      <c r="G1065" s="2"/>
      <c r="H1065" s="2"/>
    </row>
    <row r="1066">
      <c r="A1066" s="2"/>
      <c r="B1066" s="2"/>
      <c r="C1066" s="58"/>
      <c r="D1066" s="10"/>
      <c r="E1066" s="2"/>
      <c r="F1066" s="6"/>
      <c r="G1066" s="2"/>
      <c r="H1066" s="2"/>
    </row>
    <row r="1067">
      <c r="A1067" s="2"/>
      <c r="B1067" s="2"/>
      <c r="C1067" s="58"/>
      <c r="D1067" s="10"/>
      <c r="E1067" s="2"/>
      <c r="F1067" s="6"/>
      <c r="G1067" s="2"/>
      <c r="H1067" s="2"/>
    </row>
    <row r="1068">
      <c r="A1068" s="2"/>
      <c r="B1068" s="2"/>
      <c r="C1068" s="58"/>
      <c r="D1068" s="10"/>
      <c r="E1068" s="2"/>
      <c r="F1068" s="6"/>
      <c r="G1068" s="2"/>
      <c r="H1068" s="2"/>
    </row>
    <row r="1069">
      <c r="A1069" s="2"/>
      <c r="B1069" s="2"/>
      <c r="C1069" s="58"/>
      <c r="D1069" s="10"/>
      <c r="E1069" s="2"/>
      <c r="F1069" s="6"/>
      <c r="G1069" s="2"/>
      <c r="H1069" s="2"/>
    </row>
    <row r="1070">
      <c r="A1070" s="2"/>
      <c r="B1070" s="2"/>
      <c r="C1070" s="58"/>
      <c r="D1070" s="10"/>
      <c r="E1070" s="2"/>
      <c r="F1070" s="6"/>
      <c r="G1070" s="2"/>
      <c r="H1070" s="2"/>
    </row>
    <row r="1071">
      <c r="A1071" s="2"/>
      <c r="B1071" s="2"/>
      <c r="C1071" s="58"/>
      <c r="D1071" s="10"/>
      <c r="E1071" s="2"/>
      <c r="F1071" s="6"/>
      <c r="G1071" s="2"/>
      <c r="H1071" s="2"/>
    </row>
    <row r="1072">
      <c r="A1072" s="2"/>
      <c r="B1072" s="2"/>
      <c r="C1072" s="58"/>
      <c r="D1072" s="10"/>
      <c r="E1072" s="2"/>
      <c r="F1072" s="6"/>
      <c r="G1072" s="2"/>
      <c r="H1072" s="2"/>
    </row>
    <row r="1073">
      <c r="A1073" s="2"/>
      <c r="B1073" s="2"/>
      <c r="C1073" s="58"/>
      <c r="D1073" s="10"/>
      <c r="E1073" s="2"/>
      <c r="F1073" s="6"/>
      <c r="G1073" s="2"/>
      <c r="H1073" s="2"/>
    </row>
    <row r="1074">
      <c r="A1074" s="2"/>
      <c r="B1074" s="2"/>
      <c r="C1074" s="58"/>
      <c r="D1074" s="10"/>
      <c r="E1074" s="2"/>
      <c r="F1074" s="6"/>
      <c r="G1074" s="2"/>
      <c r="H1074" s="2"/>
    </row>
    <row r="1075">
      <c r="A1075" s="2"/>
      <c r="B1075" s="2"/>
      <c r="C1075" s="58"/>
      <c r="D1075" s="10"/>
      <c r="E1075" s="2"/>
      <c r="F1075" s="6"/>
      <c r="G1075" s="2"/>
      <c r="H1075" s="2"/>
    </row>
    <row r="1076">
      <c r="A1076" s="2"/>
      <c r="B1076" s="2"/>
      <c r="C1076" s="58"/>
      <c r="D1076" s="10"/>
      <c r="E1076" s="2"/>
      <c r="F1076" s="6"/>
      <c r="G1076" s="2"/>
      <c r="H1076" s="2"/>
    </row>
    <row r="1077">
      <c r="A1077" s="2"/>
      <c r="B1077" s="2"/>
      <c r="C1077" s="58"/>
      <c r="D1077" s="10"/>
      <c r="E1077" s="2"/>
      <c r="F1077" s="6"/>
      <c r="G1077" s="2"/>
      <c r="H1077" s="2"/>
    </row>
    <row r="1078">
      <c r="A1078" s="2"/>
      <c r="B1078" s="2"/>
      <c r="C1078" s="58"/>
      <c r="D1078" s="10"/>
      <c r="E1078" s="2"/>
      <c r="F1078" s="6"/>
      <c r="G1078" s="2"/>
      <c r="H1078" s="2"/>
    </row>
    <row r="1079">
      <c r="A1079" s="2"/>
      <c r="B1079" s="2"/>
      <c r="C1079" s="58"/>
      <c r="D1079" s="10"/>
      <c r="E1079" s="2"/>
      <c r="F1079" s="6"/>
      <c r="G1079" s="2"/>
      <c r="H1079" s="2"/>
    </row>
    <row r="1080">
      <c r="A1080" s="2"/>
      <c r="B1080" s="2"/>
      <c r="C1080" s="58"/>
      <c r="D1080" s="10"/>
      <c r="E1080" s="2"/>
      <c r="F1080" s="6"/>
      <c r="G1080" s="2"/>
      <c r="H1080" s="2"/>
    </row>
    <row r="1081">
      <c r="A1081" s="2"/>
      <c r="B1081" s="2"/>
      <c r="C1081" s="58"/>
      <c r="D1081" s="10"/>
      <c r="E1081" s="2"/>
      <c r="F1081" s="6"/>
      <c r="G1081" s="2"/>
      <c r="H1081" s="2"/>
    </row>
    <row r="1082">
      <c r="A1082" s="2"/>
      <c r="B1082" s="2"/>
      <c r="C1082" s="58"/>
      <c r="D1082" s="10"/>
      <c r="E1082" s="2"/>
      <c r="F1082" s="6"/>
      <c r="G1082" s="2"/>
      <c r="H1082" s="2"/>
    </row>
    <row r="1083">
      <c r="A1083" s="2"/>
      <c r="B1083" s="2"/>
      <c r="C1083" s="58"/>
      <c r="D1083" s="10"/>
      <c r="E1083" s="2"/>
      <c r="F1083" s="6"/>
      <c r="G1083" s="2"/>
      <c r="H1083" s="2"/>
    </row>
    <row r="1084">
      <c r="A1084" s="2"/>
      <c r="B1084" s="2"/>
      <c r="C1084" s="58"/>
      <c r="D1084" s="10"/>
      <c r="E1084" s="2"/>
      <c r="F1084" s="6"/>
      <c r="G1084" s="2"/>
      <c r="H1084" s="2"/>
    </row>
    <row r="1085">
      <c r="A1085" s="2"/>
      <c r="B1085" s="2"/>
      <c r="C1085" s="58"/>
      <c r="D1085" s="10"/>
      <c r="E1085" s="2"/>
      <c r="F1085" s="6"/>
      <c r="G1085" s="2"/>
      <c r="H1085" s="2"/>
    </row>
    <row r="1086">
      <c r="A1086" s="2"/>
      <c r="B1086" s="2"/>
      <c r="C1086" s="58"/>
      <c r="D1086" s="10"/>
      <c r="E1086" s="2"/>
      <c r="F1086" s="6"/>
      <c r="G1086" s="2"/>
      <c r="H1086" s="2"/>
    </row>
    <row r="1087">
      <c r="A1087" s="2"/>
      <c r="B1087" s="2"/>
      <c r="C1087" s="58"/>
      <c r="D1087" s="10"/>
      <c r="E1087" s="2"/>
      <c r="F1087" s="6"/>
      <c r="G1087" s="2"/>
      <c r="H1087" s="2"/>
    </row>
    <row r="1088">
      <c r="A1088" s="2"/>
      <c r="B1088" s="2"/>
      <c r="C1088" s="58"/>
      <c r="D1088" s="10"/>
      <c r="E1088" s="2"/>
      <c r="F1088" s="6"/>
      <c r="G1088" s="2"/>
      <c r="H1088" s="2"/>
    </row>
    <row r="1089">
      <c r="A1089" s="2"/>
      <c r="B1089" s="2"/>
      <c r="C1089" s="58"/>
      <c r="D1089" s="10"/>
      <c r="E1089" s="2"/>
      <c r="F1089" s="6"/>
      <c r="G1089" s="2"/>
      <c r="H1089" s="2"/>
    </row>
    <row r="1090">
      <c r="A1090" s="2"/>
      <c r="B1090" s="2"/>
      <c r="C1090" s="58"/>
      <c r="D1090" s="10"/>
      <c r="E1090" s="2"/>
      <c r="F1090" s="6"/>
      <c r="G1090" s="2"/>
      <c r="H1090" s="2"/>
    </row>
    <row r="1091">
      <c r="A1091" s="2"/>
      <c r="B1091" s="2"/>
      <c r="C1091" s="58"/>
      <c r="D1091" s="10"/>
      <c r="E1091" s="2"/>
      <c r="F1091" s="6"/>
      <c r="G1091" s="2"/>
      <c r="H1091" s="2"/>
      <c r="I1091" s="2"/>
      <c r="J1091" s="2"/>
    </row>
    <row r="1092">
      <c r="A1092" s="2"/>
      <c r="B1092" s="2"/>
      <c r="C1092" s="58"/>
      <c r="D1092" s="10"/>
      <c r="E1092" s="2"/>
      <c r="F1092" s="6"/>
      <c r="G1092" s="2"/>
      <c r="H1092" s="2"/>
      <c r="I1092" s="2"/>
      <c r="J1092" s="2"/>
    </row>
    <row r="1093">
      <c r="A1093" s="2"/>
      <c r="B1093" s="2"/>
      <c r="C1093" s="58"/>
      <c r="D1093" s="10"/>
      <c r="E1093" s="2"/>
      <c r="F1093" s="6"/>
      <c r="G1093" s="2"/>
      <c r="H1093" s="2"/>
      <c r="I1093" s="2"/>
      <c r="J1093" s="2"/>
    </row>
    <row r="1094">
      <c r="A1094" s="2"/>
      <c r="B1094" s="2"/>
      <c r="C1094" s="58"/>
      <c r="D1094" s="10"/>
      <c r="E1094" s="2"/>
      <c r="F1094" s="6"/>
      <c r="G1094" s="2"/>
      <c r="H1094" s="2"/>
      <c r="I1094" s="2"/>
      <c r="J1094" s="2"/>
    </row>
    <row r="1095">
      <c r="A1095" s="2"/>
      <c r="B1095" s="2"/>
      <c r="C1095" s="58"/>
      <c r="D1095" s="10"/>
      <c r="E1095" s="2"/>
      <c r="F1095" s="6"/>
      <c r="G1095" s="2"/>
      <c r="H1095" s="2"/>
      <c r="I1095" s="2"/>
      <c r="J1095" s="2"/>
    </row>
    <row r="1096">
      <c r="A1096" s="2"/>
      <c r="B1096" s="2"/>
      <c r="C1096" s="58"/>
      <c r="D1096" s="10"/>
      <c r="E1096" s="2"/>
      <c r="F1096" s="6"/>
      <c r="G1096" s="2"/>
      <c r="H1096" s="2"/>
      <c r="I1096" s="2"/>
      <c r="J1096" s="2"/>
    </row>
    <row r="1097">
      <c r="A1097" s="2"/>
      <c r="B1097" s="2"/>
      <c r="C1097" s="58"/>
      <c r="D1097" s="10"/>
      <c r="E1097" s="2"/>
      <c r="F1097" s="6"/>
      <c r="G1097" s="2"/>
      <c r="H1097" s="2"/>
      <c r="I1097" s="2"/>
      <c r="J1097" s="2"/>
    </row>
    <row r="1098">
      <c r="A1098" s="2"/>
      <c r="B1098" s="2"/>
      <c r="C1098" s="58"/>
      <c r="D1098" s="10"/>
      <c r="E1098" s="2"/>
      <c r="F1098" s="6"/>
      <c r="G1098" s="2"/>
      <c r="H1098" s="2"/>
      <c r="I1098" s="2"/>
      <c r="J1098" s="2"/>
    </row>
    <row r="1099">
      <c r="A1099" s="2"/>
      <c r="B1099" s="2"/>
      <c r="C1099" s="58"/>
      <c r="D1099" s="10"/>
      <c r="E1099" s="2"/>
      <c r="F1099" s="6"/>
      <c r="G1099" s="2"/>
      <c r="H1099" s="2"/>
      <c r="I1099" s="2"/>
      <c r="J1099" s="2"/>
    </row>
    <row r="1100">
      <c r="A1100" s="2"/>
      <c r="B1100" s="2"/>
      <c r="C1100" s="58"/>
      <c r="D1100" s="10"/>
      <c r="E1100" s="2"/>
      <c r="F1100" s="6"/>
      <c r="G1100" s="2"/>
      <c r="H1100" s="2"/>
      <c r="I1100" s="2"/>
      <c r="J1100" s="2"/>
    </row>
    <row r="1101">
      <c r="A1101" s="2"/>
      <c r="B1101" s="2"/>
      <c r="C1101" s="58"/>
      <c r="D1101" s="10"/>
      <c r="E1101" s="2"/>
      <c r="F1101" s="6"/>
      <c r="G1101" s="2"/>
      <c r="H1101" s="2"/>
      <c r="I1101" s="2"/>
      <c r="J1101" s="2"/>
    </row>
    <row r="1102">
      <c r="A1102" s="2"/>
      <c r="B1102" s="2"/>
      <c r="C1102" s="58"/>
      <c r="D1102" s="10"/>
      <c r="E1102" s="2"/>
      <c r="F1102" s="6"/>
      <c r="G1102" s="2"/>
      <c r="H1102" s="2"/>
      <c r="I1102" s="2"/>
      <c r="J1102" s="2"/>
    </row>
    <row r="1103">
      <c r="A1103" s="2"/>
      <c r="B1103" s="2"/>
      <c r="C1103" s="58"/>
      <c r="D1103" s="10"/>
      <c r="E1103" s="2"/>
      <c r="F1103" s="6"/>
      <c r="G1103" s="2"/>
      <c r="H1103" s="2"/>
      <c r="I1103" s="2"/>
      <c r="J1103" s="2"/>
    </row>
    <row r="1104">
      <c r="A1104" s="2"/>
      <c r="B1104" s="2"/>
      <c r="C1104" s="58"/>
      <c r="D1104" s="10"/>
      <c r="E1104" s="2"/>
      <c r="F1104" s="6"/>
      <c r="G1104" s="2"/>
      <c r="H1104" s="2"/>
      <c r="I1104" s="2"/>
      <c r="J1104" s="2"/>
    </row>
    <row r="1105">
      <c r="A1105" s="2"/>
      <c r="B1105" s="2"/>
      <c r="C1105" s="58"/>
      <c r="D1105" s="10"/>
      <c r="E1105" s="2"/>
      <c r="F1105" s="6"/>
      <c r="G1105" s="2"/>
      <c r="H1105" s="2"/>
      <c r="I1105" s="2"/>
      <c r="J1105" s="2"/>
    </row>
    <row r="1106">
      <c r="A1106" s="2"/>
      <c r="B1106" s="2"/>
      <c r="C1106" s="58"/>
      <c r="D1106" s="10"/>
      <c r="E1106" s="2"/>
      <c r="F1106" s="6"/>
      <c r="G1106" s="2"/>
      <c r="H1106" s="2"/>
      <c r="I1106" s="2"/>
      <c r="J1106" s="2"/>
    </row>
    <row r="1107">
      <c r="A1107" s="2"/>
      <c r="B1107" s="2"/>
      <c r="C1107" s="58"/>
      <c r="D1107" s="10"/>
      <c r="E1107" s="2"/>
      <c r="F1107" s="6"/>
      <c r="G1107" s="2"/>
      <c r="H1107" s="2"/>
      <c r="I1107" s="2"/>
      <c r="J1107" s="2"/>
    </row>
    <row r="1108">
      <c r="A1108" s="2"/>
      <c r="B1108" s="2"/>
      <c r="C1108" s="58"/>
      <c r="D1108" s="10"/>
      <c r="E1108" s="2"/>
      <c r="F1108" s="6"/>
      <c r="G1108" s="2"/>
      <c r="H1108" s="2"/>
      <c r="I1108" s="2"/>
      <c r="J1108" s="2"/>
    </row>
    <row r="1109">
      <c r="A1109" s="2"/>
      <c r="B1109" s="2"/>
      <c r="C1109" s="58"/>
      <c r="D1109" s="10"/>
      <c r="E1109" s="2"/>
      <c r="F1109" s="6"/>
      <c r="G1109" s="2"/>
      <c r="H1109" s="2"/>
      <c r="I1109" s="2"/>
      <c r="J1109" s="2"/>
    </row>
    <row r="1110">
      <c r="A1110" s="2"/>
      <c r="B1110" s="2"/>
      <c r="C1110" s="58"/>
      <c r="D1110" s="10"/>
      <c r="E1110" s="2"/>
      <c r="F1110" s="6"/>
      <c r="G1110" s="2"/>
      <c r="H1110" s="2"/>
      <c r="I1110" s="2"/>
      <c r="J1110" s="2"/>
    </row>
    <row r="1111">
      <c r="A1111" s="2"/>
      <c r="B1111" s="2"/>
      <c r="C1111" s="58"/>
      <c r="D1111" s="10"/>
      <c r="E1111" s="2"/>
      <c r="F1111" s="6"/>
      <c r="G1111" s="2"/>
      <c r="H1111" s="2"/>
      <c r="I1111" s="2"/>
      <c r="J1111" s="2"/>
    </row>
    <row r="1112">
      <c r="A1112" s="2"/>
      <c r="B1112" s="2"/>
      <c r="C1112" s="58"/>
      <c r="D1112" s="10"/>
      <c r="E1112" s="2"/>
      <c r="F1112" s="6"/>
      <c r="G1112" s="2"/>
      <c r="H1112" s="2"/>
      <c r="I1112" s="2"/>
      <c r="J1112" s="2"/>
    </row>
    <row r="1113">
      <c r="A1113" s="2"/>
      <c r="B1113" s="2"/>
      <c r="C1113" s="58"/>
      <c r="D1113" s="10"/>
      <c r="E1113" s="2"/>
      <c r="F1113" s="6"/>
      <c r="G1113" s="2"/>
      <c r="H1113" s="2"/>
      <c r="I1113" s="2"/>
      <c r="J1113" s="2"/>
    </row>
    <row r="1114">
      <c r="A1114" s="2"/>
      <c r="B1114" s="2"/>
      <c r="C1114" s="58"/>
      <c r="D1114" s="10"/>
      <c r="E1114" s="2"/>
      <c r="F1114" s="6"/>
      <c r="G1114" s="2"/>
      <c r="H1114" s="2"/>
      <c r="I1114" s="2"/>
      <c r="J1114" s="2"/>
    </row>
    <row r="1115">
      <c r="A1115" s="2"/>
      <c r="B1115" s="2"/>
      <c r="C1115" s="58"/>
      <c r="D1115" s="10"/>
      <c r="E1115" s="2"/>
      <c r="F1115" s="6"/>
      <c r="G1115" s="2"/>
      <c r="H1115" s="2"/>
      <c r="I1115" s="2"/>
      <c r="J1115" s="2"/>
    </row>
    <row r="1116">
      <c r="A1116" s="2"/>
      <c r="B1116" s="2"/>
      <c r="C1116" s="58"/>
      <c r="D1116" s="10"/>
      <c r="E1116" s="2"/>
      <c r="F1116" s="6"/>
      <c r="G1116" s="2"/>
      <c r="H1116" s="2"/>
      <c r="I1116" s="2"/>
      <c r="J1116" s="2"/>
    </row>
    <row r="1117">
      <c r="A1117" s="2"/>
      <c r="B1117" s="2"/>
      <c r="C1117" s="58"/>
      <c r="D1117" s="10"/>
      <c r="E1117" s="2"/>
      <c r="F1117" s="6"/>
      <c r="G1117" s="2"/>
      <c r="H1117" s="2"/>
      <c r="I1117" s="2"/>
      <c r="J1117" s="2"/>
    </row>
    <row r="1118">
      <c r="A1118" s="2"/>
      <c r="B1118" s="2"/>
      <c r="C1118" s="58"/>
      <c r="D1118" s="10"/>
      <c r="E1118" s="2"/>
      <c r="F1118" s="6"/>
      <c r="G1118" s="2"/>
      <c r="H1118" s="2"/>
      <c r="I1118" s="2"/>
      <c r="J1118" s="2"/>
    </row>
    <row r="1119">
      <c r="A1119" s="2"/>
      <c r="B1119" s="2"/>
      <c r="C1119" s="58"/>
      <c r="D1119" s="10"/>
      <c r="E1119" s="2"/>
      <c r="F1119" s="6"/>
      <c r="G1119" s="2"/>
      <c r="H1119" s="2"/>
      <c r="I1119" s="2"/>
      <c r="J1119" s="2"/>
    </row>
    <row r="1120">
      <c r="A1120" s="2"/>
      <c r="B1120" s="2"/>
      <c r="C1120" s="58"/>
      <c r="D1120" s="10"/>
      <c r="E1120" s="2"/>
      <c r="F1120" s="6"/>
      <c r="G1120" s="2"/>
      <c r="H1120" s="2"/>
      <c r="I1120" s="2"/>
      <c r="J1120" s="2"/>
    </row>
    <row r="1121">
      <c r="A1121" s="2"/>
      <c r="B1121" s="2"/>
      <c r="C1121" s="58"/>
      <c r="D1121" s="10"/>
      <c r="E1121" s="2"/>
      <c r="F1121" s="6"/>
      <c r="G1121" s="2"/>
      <c r="H1121" s="2"/>
      <c r="I1121" s="2"/>
      <c r="J1121" s="2"/>
    </row>
    <row r="1122">
      <c r="A1122" s="2"/>
      <c r="B1122" s="2"/>
      <c r="C1122" s="58"/>
      <c r="D1122" s="10"/>
      <c r="E1122" s="2"/>
      <c r="F1122" s="6"/>
      <c r="G1122" s="2"/>
      <c r="H1122" s="2"/>
      <c r="I1122" s="2"/>
      <c r="J1122" s="2"/>
    </row>
    <row r="1123">
      <c r="A1123" s="2"/>
      <c r="B1123" s="2"/>
      <c r="C1123" s="58"/>
      <c r="D1123" s="10"/>
      <c r="E1123" s="2"/>
      <c r="F1123" s="6"/>
      <c r="G1123" s="2"/>
      <c r="H1123" s="2"/>
      <c r="I1123" s="2"/>
      <c r="J1123" s="2"/>
    </row>
    <row r="1124">
      <c r="A1124" s="2"/>
      <c r="B1124" s="2"/>
      <c r="C1124" s="58"/>
      <c r="D1124" s="10"/>
      <c r="E1124" s="2"/>
      <c r="F1124" s="6"/>
      <c r="G1124" s="2"/>
      <c r="H1124" s="2"/>
      <c r="I1124" s="2"/>
      <c r="J1124" s="2"/>
    </row>
    <row r="1125">
      <c r="A1125" s="2"/>
      <c r="B1125" s="2"/>
      <c r="C1125" s="58"/>
      <c r="D1125" s="10"/>
      <c r="E1125" s="2"/>
      <c r="F1125" s="6"/>
      <c r="G1125" s="2"/>
      <c r="H1125" s="2"/>
      <c r="I1125" s="2"/>
      <c r="J1125" s="2"/>
    </row>
    <row r="1126">
      <c r="A1126" s="2"/>
      <c r="B1126" s="2"/>
      <c r="C1126" s="58"/>
      <c r="D1126" s="10"/>
      <c r="E1126" s="2"/>
      <c r="F1126" s="6"/>
      <c r="G1126" s="2"/>
      <c r="H1126" s="2"/>
      <c r="I1126" s="2"/>
      <c r="J1126" s="2"/>
    </row>
    <row r="1127">
      <c r="A1127" s="2"/>
      <c r="B1127" s="2"/>
      <c r="C1127" s="58"/>
      <c r="D1127" s="10"/>
      <c r="E1127" s="2"/>
      <c r="F1127" s="6"/>
      <c r="G1127" s="2"/>
      <c r="H1127" s="2"/>
      <c r="I1127" s="2"/>
      <c r="J1127" s="2"/>
    </row>
    <row r="1128">
      <c r="A1128" s="2"/>
      <c r="B1128" s="2"/>
      <c r="C1128" s="58"/>
      <c r="D1128" s="10"/>
      <c r="E1128" s="2"/>
      <c r="F1128" s="6"/>
      <c r="G1128" s="2"/>
      <c r="H1128" s="2"/>
      <c r="I1128" s="2"/>
      <c r="J1128" s="2"/>
    </row>
    <row r="1129">
      <c r="A1129" s="2"/>
      <c r="B1129" s="2"/>
      <c r="C1129" s="58"/>
      <c r="D1129" s="10"/>
      <c r="E1129" s="2"/>
      <c r="F1129" s="6"/>
      <c r="G1129" s="2"/>
      <c r="H1129" s="2"/>
      <c r="I1129" s="2"/>
      <c r="J1129" s="2"/>
    </row>
    <row r="1130">
      <c r="A1130" s="2"/>
      <c r="B1130" s="2"/>
      <c r="C1130" s="58"/>
      <c r="D1130" s="10"/>
      <c r="E1130" s="2"/>
      <c r="F1130" s="6"/>
      <c r="G1130" s="2"/>
      <c r="H1130" s="2"/>
      <c r="I1130" s="2"/>
      <c r="J1130" s="2"/>
    </row>
    <row r="1131">
      <c r="A1131" s="2"/>
      <c r="B1131" s="2"/>
      <c r="C1131" s="58"/>
      <c r="D1131" s="10"/>
      <c r="E1131" s="2"/>
      <c r="F1131" s="6"/>
      <c r="G1131" s="2"/>
      <c r="H1131" s="2"/>
      <c r="I1131" s="2"/>
      <c r="J1131" s="2"/>
    </row>
    <row r="1132">
      <c r="A1132" s="2"/>
      <c r="B1132" s="2"/>
      <c r="C1132" s="58"/>
      <c r="D1132" s="10"/>
      <c r="E1132" s="2"/>
      <c r="F1132" s="6"/>
      <c r="G1132" s="2"/>
      <c r="H1132" s="2"/>
      <c r="I1132" s="2"/>
      <c r="J1132" s="2"/>
    </row>
    <row r="1133">
      <c r="A1133" s="2"/>
      <c r="B1133" s="2"/>
      <c r="C1133" s="58"/>
      <c r="D1133" s="10"/>
      <c r="E1133" s="2"/>
      <c r="F1133" s="6"/>
      <c r="G1133" s="2"/>
      <c r="H1133" s="2"/>
      <c r="I1133" s="2"/>
      <c r="J1133" s="2"/>
    </row>
    <row r="1134">
      <c r="A1134" s="2"/>
      <c r="B1134" s="2"/>
      <c r="C1134" s="58"/>
      <c r="D1134" s="10"/>
      <c r="E1134" s="2"/>
      <c r="F1134" s="6"/>
      <c r="G1134" s="2"/>
      <c r="H1134" s="2"/>
      <c r="I1134" s="2"/>
      <c r="J1134" s="2"/>
    </row>
    <row r="1135">
      <c r="A1135" s="2"/>
      <c r="B1135" s="2"/>
      <c r="C1135" s="58"/>
      <c r="D1135" s="10"/>
      <c r="E1135" s="2"/>
      <c r="F1135" s="6"/>
      <c r="G1135" s="2"/>
      <c r="H1135" s="2"/>
      <c r="I1135" s="2"/>
      <c r="J1135" s="2"/>
    </row>
    <row r="1136">
      <c r="A1136" s="2"/>
      <c r="B1136" s="2"/>
      <c r="C1136" s="58"/>
      <c r="D1136" s="10"/>
      <c r="E1136" s="2"/>
      <c r="F1136" s="6"/>
      <c r="G1136" s="2"/>
      <c r="H1136" s="2"/>
      <c r="I1136" s="2"/>
      <c r="J1136" s="2"/>
    </row>
    <row r="1137">
      <c r="A1137" s="2"/>
      <c r="B1137" s="2"/>
      <c r="C1137" s="58"/>
      <c r="D1137" s="10"/>
      <c r="E1137" s="2"/>
      <c r="F1137" s="6"/>
      <c r="G1137" s="2"/>
      <c r="H1137" s="2"/>
      <c r="I1137" s="2"/>
      <c r="J1137" s="2"/>
    </row>
    <row r="1138">
      <c r="A1138" s="2"/>
      <c r="B1138" s="2"/>
      <c r="C1138" s="58"/>
      <c r="D1138" s="10"/>
      <c r="E1138" s="2"/>
      <c r="F1138" s="6"/>
      <c r="G1138" s="2"/>
      <c r="H1138" s="2"/>
      <c r="I1138" s="2"/>
      <c r="J1138" s="2"/>
    </row>
    <row r="1139">
      <c r="A1139" s="2"/>
      <c r="B1139" s="2"/>
      <c r="C1139" s="58"/>
      <c r="D1139" s="10"/>
      <c r="E1139" s="2"/>
      <c r="F1139" s="6"/>
      <c r="G1139" s="2"/>
      <c r="H1139" s="2"/>
      <c r="I1139" s="2"/>
      <c r="J1139" s="2"/>
    </row>
    <row r="1140">
      <c r="A1140" s="2"/>
      <c r="B1140" s="2"/>
      <c r="C1140" s="58"/>
      <c r="D1140" s="10"/>
      <c r="E1140" s="2"/>
      <c r="F1140" s="6"/>
      <c r="G1140" s="2"/>
      <c r="H1140" s="2"/>
      <c r="I1140" s="2"/>
      <c r="J1140" s="2"/>
    </row>
    <row r="1141">
      <c r="A1141" s="2"/>
      <c r="B1141" s="2"/>
      <c r="C1141" s="58"/>
      <c r="D1141" s="10"/>
      <c r="E1141" s="2"/>
      <c r="F1141" s="6"/>
      <c r="G1141" s="2"/>
      <c r="H1141" s="2"/>
      <c r="I1141" s="2"/>
      <c r="J1141" s="2"/>
    </row>
    <row r="1142">
      <c r="A1142" s="2"/>
      <c r="B1142" s="2"/>
      <c r="C1142" s="58"/>
      <c r="D1142" s="10"/>
      <c r="E1142" s="2"/>
      <c r="F1142" s="6"/>
      <c r="G1142" s="2"/>
      <c r="H1142" s="2"/>
      <c r="I1142" s="2"/>
      <c r="J1142" s="2"/>
    </row>
    <row r="1143">
      <c r="A1143" s="2"/>
      <c r="B1143" s="2"/>
      <c r="C1143" s="58"/>
      <c r="D1143" s="10"/>
      <c r="E1143" s="2"/>
      <c r="F1143" s="6"/>
      <c r="G1143" s="2"/>
      <c r="H1143" s="2"/>
      <c r="I1143" s="2"/>
      <c r="J1143" s="2"/>
    </row>
    <row r="1144">
      <c r="A1144" s="2"/>
      <c r="B1144" s="2"/>
      <c r="C1144" s="58"/>
      <c r="D1144" s="10"/>
      <c r="E1144" s="2"/>
      <c r="F1144" s="6"/>
      <c r="G1144" s="2"/>
      <c r="H1144" s="2"/>
      <c r="I1144" s="2"/>
      <c r="J1144" s="2"/>
    </row>
    <row r="1145">
      <c r="A1145" s="2"/>
      <c r="B1145" s="2"/>
      <c r="C1145" s="58"/>
      <c r="D1145" s="10"/>
      <c r="E1145" s="2"/>
      <c r="F1145" s="6"/>
      <c r="G1145" s="2"/>
      <c r="H1145" s="2"/>
      <c r="I1145" s="2"/>
      <c r="J1145" s="2"/>
    </row>
    <row r="1146">
      <c r="A1146" s="2"/>
      <c r="B1146" s="2"/>
      <c r="C1146" s="58"/>
      <c r="D1146" s="10"/>
      <c r="E1146" s="2"/>
      <c r="F1146" s="6"/>
      <c r="G1146" s="2"/>
      <c r="H1146" s="2"/>
      <c r="I1146" s="2"/>
      <c r="J1146" s="2"/>
    </row>
    <row r="1147">
      <c r="A1147" s="2"/>
      <c r="B1147" s="2"/>
      <c r="C1147" s="58"/>
      <c r="D1147" s="10"/>
      <c r="E1147" s="2"/>
      <c r="F1147" s="6"/>
      <c r="G1147" s="2"/>
      <c r="H1147" s="2"/>
      <c r="I1147" s="2"/>
      <c r="J1147" s="2"/>
    </row>
    <row r="1148">
      <c r="A1148" s="2"/>
      <c r="B1148" s="2"/>
      <c r="C1148" s="58"/>
      <c r="D1148" s="10"/>
      <c r="E1148" s="2"/>
      <c r="F1148" s="6"/>
      <c r="G1148" s="2"/>
      <c r="H1148" s="2"/>
      <c r="I1148" s="2"/>
      <c r="J1148" s="2"/>
    </row>
    <row r="1149">
      <c r="A1149" s="2"/>
      <c r="B1149" s="2"/>
      <c r="C1149" s="58"/>
      <c r="D1149" s="10"/>
      <c r="E1149" s="2"/>
      <c r="F1149" s="6"/>
      <c r="G1149" s="2"/>
      <c r="H1149" s="2"/>
      <c r="I1149" s="2"/>
      <c r="J1149" s="2"/>
    </row>
    <row r="1150">
      <c r="A1150" s="2"/>
      <c r="B1150" s="2"/>
      <c r="C1150" s="58"/>
      <c r="D1150" s="10"/>
      <c r="E1150" s="2"/>
      <c r="F1150" s="6"/>
      <c r="G1150" s="2"/>
      <c r="H1150" s="2"/>
      <c r="I1150" s="2"/>
      <c r="J1150" s="2"/>
    </row>
    <row r="1151">
      <c r="A1151" s="2"/>
      <c r="B1151" s="2"/>
      <c r="C1151" s="58"/>
      <c r="D1151" s="10"/>
      <c r="E1151" s="2"/>
      <c r="F1151" s="6"/>
      <c r="G1151" s="2"/>
      <c r="H1151" s="2"/>
      <c r="I1151" s="2"/>
      <c r="J1151" s="2"/>
    </row>
    <row r="1152">
      <c r="A1152" s="2"/>
      <c r="B1152" s="2"/>
      <c r="C1152" s="58"/>
      <c r="D1152" s="10"/>
      <c r="E1152" s="2"/>
      <c r="F1152" s="6"/>
      <c r="G1152" s="2"/>
      <c r="H1152" s="2"/>
      <c r="I1152" s="2"/>
      <c r="J1152" s="2"/>
    </row>
    <row r="1153">
      <c r="A1153" s="2"/>
      <c r="B1153" s="2"/>
      <c r="C1153" s="58"/>
      <c r="D1153" s="10"/>
      <c r="E1153" s="2"/>
      <c r="F1153" s="6"/>
      <c r="G1153" s="2"/>
      <c r="H1153" s="2"/>
      <c r="I1153" s="2"/>
      <c r="J1153" s="2"/>
    </row>
    <row r="1154">
      <c r="A1154" s="2"/>
      <c r="B1154" s="2"/>
      <c r="C1154" s="58"/>
      <c r="D1154" s="10"/>
      <c r="E1154" s="2"/>
      <c r="F1154" s="6"/>
      <c r="G1154" s="2"/>
      <c r="H1154" s="2"/>
      <c r="I1154" s="2"/>
      <c r="J1154" s="2"/>
    </row>
    <row r="1155">
      <c r="A1155" s="2"/>
      <c r="B1155" s="2"/>
      <c r="C1155" s="58"/>
      <c r="D1155" s="10"/>
      <c r="E1155" s="2"/>
      <c r="F1155" s="6"/>
      <c r="G1155" s="2"/>
      <c r="H1155" s="2"/>
      <c r="I1155" s="2"/>
      <c r="J1155" s="2"/>
    </row>
    <row r="1156">
      <c r="A1156" s="2"/>
      <c r="B1156" s="2"/>
      <c r="C1156" s="58"/>
      <c r="D1156" s="10"/>
      <c r="E1156" s="2"/>
      <c r="F1156" s="6"/>
      <c r="G1156" s="2"/>
      <c r="H1156" s="2"/>
      <c r="I1156" s="2"/>
      <c r="J1156" s="2"/>
    </row>
    <row r="1157">
      <c r="A1157" s="2"/>
      <c r="B1157" s="2"/>
      <c r="C1157" s="58"/>
      <c r="D1157" s="10"/>
      <c r="E1157" s="2"/>
      <c r="F1157" s="6"/>
      <c r="G1157" s="2"/>
      <c r="H1157" s="2"/>
      <c r="I1157" s="2"/>
      <c r="J1157" s="2"/>
    </row>
    <row r="1158">
      <c r="A1158" s="2"/>
      <c r="B1158" s="2"/>
      <c r="C1158" s="58"/>
      <c r="D1158" s="10"/>
      <c r="E1158" s="2"/>
      <c r="F1158" s="6"/>
      <c r="G1158" s="2"/>
      <c r="H1158" s="2"/>
      <c r="I1158" s="2"/>
      <c r="J1158" s="2"/>
    </row>
    <row r="1159">
      <c r="A1159" s="2"/>
      <c r="B1159" s="2"/>
      <c r="C1159" s="58"/>
      <c r="D1159" s="10"/>
      <c r="E1159" s="2"/>
      <c r="F1159" s="6"/>
      <c r="G1159" s="2"/>
      <c r="H1159" s="2"/>
      <c r="I1159" s="2"/>
      <c r="J1159" s="2"/>
    </row>
    <row r="1160">
      <c r="A1160" s="2"/>
      <c r="B1160" s="2"/>
      <c r="C1160" s="58"/>
      <c r="D1160" s="10"/>
      <c r="E1160" s="2"/>
      <c r="F1160" s="6"/>
      <c r="G1160" s="2"/>
      <c r="H1160" s="2"/>
      <c r="I1160" s="2"/>
      <c r="J1160" s="2"/>
    </row>
    <row r="1161">
      <c r="A1161" s="2"/>
      <c r="B1161" s="2"/>
      <c r="C1161" s="58"/>
      <c r="D1161" s="10"/>
      <c r="E1161" s="2"/>
      <c r="F1161" s="6"/>
      <c r="G1161" s="2"/>
      <c r="H1161" s="2"/>
      <c r="I1161" s="2"/>
      <c r="J1161" s="2"/>
    </row>
    <row r="1162">
      <c r="A1162" s="2"/>
      <c r="B1162" s="2"/>
      <c r="C1162" s="58"/>
      <c r="D1162" s="10"/>
      <c r="E1162" s="2"/>
      <c r="F1162" s="6"/>
      <c r="G1162" s="2"/>
      <c r="H1162" s="2"/>
      <c r="I1162" s="2"/>
      <c r="J1162" s="2"/>
    </row>
    <row r="1163">
      <c r="A1163" s="2"/>
      <c r="B1163" s="2"/>
      <c r="C1163" s="58"/>
      <c r="D1163" s="10"/>
      <c r="E1163" s="2"/>
      <c r="F1163" s="6"/>
      <c r="G1163" s="2"/>
      <c r="H1163" s="2"/>
      <c r="I1163" s="2"/>
      <c r="J1163" s="2"/>
    </row>
    <row r="1164">
      <c r="A1164" s="2"/>
      <c r="B1164" s="2"/>
      <c r="C1164" s="58"/>
      <c r="D1164" s="10"/>
      <c r="E1164" s="2"/>
      <c r="F1164" s="6"/>
      <c r="G1164" s="2"/>
      <c r="H1164" s="2"/>
      <c r="I1164" s="2"/>
      <c r="J1164" s="2"/>
    </row>
    <row r="1165">
      <c r="A1165" s="2"/>
      <c r="B1165" s="2"/>
      <c r="C1165" s="58"/>
      <c r="D1165" s="10"/>
      <c r="E1165" s="2"/>
      <c r="F1165" s="6"/>
      <c r="G1165" s="2"/>
      <c r="H1165" s="2"/>
      <c r="I1165" s="2"/>
      <c r="J1165" s="2"/>
    </row>
    <row r="1166">
      <c r="A1166" s="2"/>
      <c r="B1166" s="2"/>
      <c r="C1166" s="58"/>
      <c r="D1166" s="10"/>
      <c r="E1166" s="2"/>
      <c r="F1166" s="6"/>
      <c r="G1166" s="2"/>
      <c r="H1166" s="2"/>
      <c r="I1166" s="2"/>
      <c r="J1166" s="2"/>
    </row>
    <row r="1167">
      <c r="A1167" s="2"/>
      <c r="B1167" s="2"/>
      <c r="C1167" s="58"/>
      <c r="D1167" s="10"/>
      <c r="E1167" s="2"/>
      <c r="F1167" s="6"/>
      <c r="G1167" s="2"/>
      <c r="H1167" s="2"/>
      <c r="I1167" s="2"/>
      <c r="J1167" s="2"/>
    </row>
    <row r="1168">
      <c r="A1168" s="2"/>
      <c r="B1168" s="2"/>
      <c r="C1168" s="58"/>
      <c r="D1168" s="10"/>
      <c r="E1168" s="2"/>
      <c r="F1168" s="6"/>
      <c r="G1168" s="2"/>
      <c r="H1168" s="2"/>
      <c r="I1168" s="2"/>
      <c r="J1168" s="2"/>
    </row>
    <row r="1169">
      <c r="A1169" s="2"/>
      <c r="B1169" s="2"/>
      <c r="C1169" s="58"/>
      <c r="D1169" s="10"/>
      <c r="E1169" s="2"/>
      <c r="F1169" s="6"/>
      <c r="G1169" s="2"/>
      <c r="H1169" s="2"/>
      <c r="I1169" s="2"/>
      <c r="J1169" s="2"/>
    </row>
    <row r="1170">
      <c r="A1170" s="2"/>
      <c r="B1170" s="2"/>
      <c r="C1170" s="58"/>
      <c r="D1170" s="10"/>
      <c r="E1170" s="2"/>
      <c r="F1170" s="6"/>
      <c r="G1170" s="2"/>
      <c r="H1170" s="2"/>
      <c r="I1170" s="2"/>
      <c r="J1170" s="2"/>
    </row>
    <row r="1171">
      <c r="A1171" s="2"/>
      <c r="B1171" s="2"/>
      <c r="C1171" s="58"/>
      <c r="D1171" s="10"/>
      <c r="E1171" s="2"/>
      <c r="F1171" s="6"/>
      <c r="G1171" s="2"/>
      <c r="H1171" s="2"/>
      <c r="I1171" s="2"/>
      <c r="J1171" s="2"/>
    </row>
    <row r="1172">
      <c r="A1172" s="2"/>
      <c r="B1172" s="2"/>
      <c r="C1172" s="58"/>
      <c r="D1172" s="10"/>
      <c r="E1172" s="2"/>
      <c r="F1172" s="6"/>
      <c r="G1172" s="2"/>
      <c r="H1172" s="2"/>
      <c r="I1172" s="2"/>
      <c r="J1172" s="2"/>
    </row>
    <row r="1173">
      <c r="A1173" s="2"/>
      <c r="B1173" s="2"/>
      <c r="C1173" s="58"/>
      <c r="D1173" s="10"/>
      <c r="E1173" s="2"/>
      <c r="F1173" s="6"/>
      <c r="G1173" s="2"/>
      <c r="H1173" s="2"/>
      <c r="I1173" s="2"/>
      <c r="J1173" s="2"/>
    </row>
    <row r="1174">
      <c r="A1174" s="2"/>
      <c r="B1174" s="2"/>
      <c r="C1174" s="58"/>
      <c r="D1174" s="10"/>
      <c r="E1174" s="2"/>
      <c r="F1174" s="6"/>
      <c r="G1174" s="2"/>
      <c r="H1174" s="2"/>
      <c r="I1174" s="2"/>
      <c r="J1174" s="2"/>
    </row>
    <row r="1175">
      <c r="A1175" s="2"/>
      <c r="B1175" s="2"/>
      <c r="C1175" s="58"/>
      <c r="D1175" s="10"/>
      <c r="E1175" s="2"/>
      <c r="F1175" s="6"/>
      <c r="G1175" s="2"/>
      <c r="H1175" s="2"/>
      <c r="I1175" s="2"/>
      <c r="J1175" s="2"/>
    </row>
    <row r="1176">
      <c r="A1176" s="2"/>
      <c r="B1176" s="2"/>
      <c r="C1176" s="58"/>
      <c r="D1176" s="10"/>
      <c r="E1176" s="2"/>
      <c r="F1176" s="6"/>
      <c r="G1176" s="2"/>
      <c r="H1176" s="2"/>
      <c r="I1176" s="2"/>
      <c r="J1176" s="2"/>
    </row>
    <row r="1177">
      <c r="A1177" s="2"/>
      <c r="B1177" s="2"/>
      <c r="C1177" s="58"/>
      <c r="D1177" s="10"/>
      <c r="E1177" s="2"/>
      <c r="F1177" s="6"/>
      <c r="G1177" s="2"/>
      <c r="H1177" s="2"/>
      <c r="I1177" s="2"/>
      <c r="J1177" s="2"/>
    </row>
    <row r="1178">
      <c r="A1178" s="2"/>
      <c r="B1178" s="2"/>
      <c r="C1178" s="58"/>
      <c r="D1178" s="10"/>
      <c r="E1178" s="2"/>
      <c r="F1178" s="6"/>
      <c r="G1178" s="2"/>
      <c r="H1178" s="2"/>
      <c r="I1178" s="2"/>
      <c r="J1178" s="2"/>
    </row>
    <row r="1179">
      <c r="A1179" s="2"/>
      <c r="B1179" s="2"/>
      <c r="C1179" s="58"/>
      <c r="D1179" s="10"/>
      <c r="E1179" s="2"/>
      <c r="F1179" s="6"/>
      <c r="G1179" s="2"/>
      <c r="H1179" s="2"/>
      <c r="I1179" s="2"/>
      <c r="J1179" s="2"/>
    </row>
    <row r="1180">
      <c r="A1180" s="2"/>
      <c r="B1180" s="2"/>
      <c r="C1180" s="58"/>
      <c r="D1180" s="10"/>
      <c r="E1180" s="2"/>
      <c r="F1180" s="6"/>
      <c r="G1180" s="2"/>
      <c r="H1180" s="2"/>
      <c r="I1180" s="2"/>
      <c r="J1180" s="2"/>
    </row>
    <row r="1181">
      <c r="A1181" s="2"/>
      <c r="B1181" s="2"/>
      <c r="C1181" s="58"/>
      <c r="D1181" s="10"/>
      <c r="E1181" s="2"/>
      <c r="F1181" s="6"/>
      <c r="G1181" s="2"/>
      <c r="H1181" s="2"/>
      <c r="I1181" s="2"/>
      <c r="J1181" s="2"/>
    </row>
    <row r="1182">
      <c r="A1182" s="2"/>
      <c r="B1182" s="2"/>
      <c r="C1182" s="58"/>
      <c r="D1182" s="10"/>
      <c r="E1182" s="2"/>
      <c r="F1182" s="6"/>
      <c r="G1182" s="2"/>
      <c r="H1182" s="2"/>
      <c r="I1182" s="2"/>
      <c r="J1182" s="2"/>
    </row>
    <row r="1183">
      <c r="A1183" s="2"/>
      <c r="B1183" s="2"/>
      <c r="C1183" s="58"/>
      <c r="D1183" s="10"/>
      <c r="E1183" s="2"/>
      <c r="F1183" s="6"/>
      <c r="G1183" s="2"/>
      <c r="H1183" s="2"/>
      <c r="I1183" s="2"/>
      <c r="J1183" s="2"/>
    </row>
    <row r="1184">
      <c r="A1184" s="2"/>
      <c r="B1184" s="2"/>
      <c r="C1184" s="58"/>
      <c r="D1184" s="10"/>
      <c r="E1184" s="2"/>
      <c r="F1184" s="6"/>
      <c r="G1184" s="2"/>
      <c r="H1184" s="2"/>
      <c r="I1184" s="2"/>
      <c r="J1184" s="2"/>
    </row>
    <row r="1185">
      <c r="A1185" s="2"/>
      <c r="B1185" s="2"/>
      <c r="C1185" s="58"/>
      <c r="D1185" s="10"/>
      <c r="E1185" s="2"/>
      <c r="F1185" s="6"/>
      <c r="G1185" s="2"/>
      <c r="H1185" s="2"/>
      <c r="I1185" s="2"/>
      <c r="J1185" s="2"/>
    </row>
    <row r="1186">
      <c r="A1186" s="2"/>
      <c r="B1186" s="2"/>
      <c r="C1186" s="58"/>
      <c r="D1186" s="10"/>
      <c r="E1186" s="2"/>
      <c r="F1186" s="6"/>
      <c r="G1186" s="2"/>
      <c r="H1186" s="2"/>
      <c r="I1186" s="2"/>
      <c r="J1186" s="2"/>
    </row>
    <row r="1187">
      <c r="A1187" s="2"/>
      <c r="B1187" s="2"/>
      <c r="C1187" s="58"/>
      <c r="D1187" s="10"/>
      <c r="E1187" s="2"/>
      <c r="F1187" s="6"/>
      <c r="G1187" s="2"/>
      <c r="H1187" s="2"/>
      <c r="I1187" s="2"/>
      <c r="J1187" s="2"/>
    </row>
    <row r="1188">
      <c r="A1188" s="2"/>
      <c r="B1188" s="2"/>
      <c r="C1188" s="58"/>
      <c r="D1188" s="10"/>
      <c r="E1188" s="2"/>
      <c r="F1188" s="6"/>
      <c r="G1188" s="2"/>
      <c r="H1188" s="2"/>
      <c r="I1188" s="2"/>
      <c r="J118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5.13"/>
    <col customWidth="1" min="3" max="3" width="17.38"/>
    <col customWidth="1" min="4" max="4" width="18.5"/>
    <col customWidth="1" min="5" max="5" width="37.5"/>
    <col customWidth="1" min="8" max="8" width="18.63"/>
    <col customWidth="1" min="9" max="9" width="36.13"/>
    <col customWidth="1" min="10" max="10" width="13.25"/>
  </cols>
  <sheetData>
    <row r="1">
      <c r="A1" s="126" t="s">
        <v>616</v>
      </c>
      <c r="B1" s="127"/>
      <c r="C1" s="38"/>
      <c r="D1" s="128"/>
      <c r="E1" s="128" t="s">
        <v>617</v>
      </c>
      <c r="F1" s="129">
        <v>12500.0</v>
      </c>
      <c r="G1" s="40"/>
      <c r="H1" s="38"/>
      <c r="I1" s="38"/>
      <c r="J1" s="38"/>
    </row>
    <row r="2">
      <c r="A2" s="130" t="s">
        <v>618</v>
      </c>
      <c r="B2" s="129">
        <v>15000.0</v>
      </c>
      <c r="C2" s="38"/>
      <c r="D2" s="128"/>
      <c r="E2" s="128" t="s">
        <v>619</v>
      </c>
      <c r="F2" s="129">
        <v>15000.0</v>
      </c>
      <c r="G2" s="38"/>
      <c r="H2" s="38"/>
      <c r="I2" s="38"/>
      <c r="J2" s="38"/>
    </row>
    <row r="3">
      <c r="A3" s="130" t="s">
        <v>620</v>
      </c>
      <c r="B3" s="129">
        <v>18000.0</v>
      </c>
      <c r="C3" s="38"/>
      <c r="D3" s="38"/>
      <c r="E3" s="38"/>
      <c r="F3" s="38"/>
      <c r="G3" s="38"/>
      <c r="H3" s="38"/>
      <c r="I3" s="38"/>
      <c r="J3" s="38"/>
    </row>
    <row r="4">
      <c r="A4" s="131" t="s">
        <v>621</v>
      </c>
      <c r="B4" s="132">
        <v>23000.0</v>
      </c>
      <c r="C4" s="38"/>
      <c r="D4" s="38"/>
      <c r="E4" s="38"/>
      <c r="F4" s="38"/>
      <c r="G4" s="38"/>
      <c r="H4" s="38"/>
      <c r="I4" s="38"/>
      <c r="J4" s="38"/>
    </row>
    <row r="5">
      <c r="A5" s="133"/>
      <c r="B5" s="133"/>
      <c r="C5" s="134"/>
      <c r="D5" s="134"/>
      <c r="E5" s="133"/>
      <c r="F5" s="133"/>
      <c r="G5" s="134"/>
      <c r="H5" s="133"/>
      <c r="I5" s="133"/>
      <c r="J5" s="135"/>
      <c r="K5" s="136"/>
    </row>
    <row r="6">
      <c r="A6" s="137" t="s">
        <v>622</v>
      </c>
      <c r="B6" s="138" t="s">
        <v>623</v>
      </c>
      <c r="C6" s="139" t="s">
        <v>624</v>
      </c>
      <c r="D6" s="140" t="s">
        <v>625</v>
      </c>
      <c r="E6" s="141" t="s">
        <v>626</v>
      </c>
      <c r="F6" s="138" t="s">
        <v>623</v>
      </c>
      <c r="G6" s="139" t="s">
        <v>624</v>
      </c>
      <c r="H6" s="129" t="s">
        <v>625</v>
      </c>
      <c r="I6" s="142" t="s">
        <v>144</v>
      </c>
      <c r="J6" s="135" t="s">
        <v>623</v>
      </c>
      <c r="K6" s="136" t="s">
        <v>624</v>
      </c>
    </row>
    <row r="7">
      <c r="A7" s="143" t="s">
        <v>627</v>
      </c>
      <c r="B7" s="144">
        <v>10000.0</v>
      </c>
      <c r="C7" s="145">
        <f t="shared" ref="C7:C91" si="1">(B7*1.1)</f>
        <v>11000</v>
      </c>
      <c r="D7" s="146">
        <v>13500.0</v>
      </c>
      <c r="E7" s="147" t="s">
        <v>628</v>
      </c>
      <c r="F7" s="144">
        <v>12500.0</v>
      </c>
      <c r="G7" s="145">
        <f t="shared" ref="G7:G9" si="2">(F7*1.1)</f>
        <v>13750</v>
      </c>
      <c r="H7" s="148"/>
      <c r="I7" s="147" t="s">
        <v>629</v>
      </c>
      <c r="J7" s="129">
        <v>14000.0</v>
      </c>
      <c r="K7" s="149">
        <f t="shared" ref="K7:K23" si="3">(J7*1.1)</f>
        <v>15400</v>
      </c>
    </row>
    <row r="8">
      <c r="A8" s="147" t="s">
        <v>630</v>
      </c>
      <c r="B8" s="144">
        <v>12500.0</v>
      </c>
      <c r="C8" s="145">
        <f t="shared" si="1"/>
        <v>13750</v>
      </c>
      <c r="D8" s="146">
        <v>15000.0</v>
      </c>
      <c r="E8" s="147" t="s">
        <v>631</v>
      </c>
      <c r="F8" s="144">
        <v>12500.0</v>
      </c>
      <c r="G8" s="145">
        <f t="shared" si="2"/>
        <v>13750</v>
      </c>
      <c r="H8" s="148"/>
      <c r="I8" s="147" t="s">
        <v>632</v>
      </c>
      <c r="J8" s="129">
        <v>14000.0</v>
      </c>
      <c r="K8" s="149">
        <f t="shared" si="3"/>
        <v>15400</v>
      </c>
    </row>
    <row r="9">
      <c r="A9" s="147" t="s">
        <v>633</v>
      </c>
      <c r="B9" s="144">
        <v>12500.0</v>
      </c>
      <c r="C9" s="145">
        <f t="shared" si="1"/>
        <v>13750</v>
      </c>
      <c r="D9" s="146">
        <v>15000.0</v>
      </c>
      <c r="E9" s="147" t="s">
        <v>634</v>
      </c>
      <c r="F9" s="144">
        <v>10500.0</v>
      </c>
      <c r="G9" s="145">
        <f t="shared" si="2"/>
        <v>11550</v>
      </c>
      <c r="H9" s="148"/>
      <c r="I9" s="147" t="s">
        <v>635</v>
      </c>
      <c r="J9" s="129">
        <v>15000.0</v>
      </c>
      <c r="K9" s="149">
        <f t="shared" si="3"/>
        <v>16500</v>
      </c>
    </row>
    <row r="10">
      <c r="A10" s="147" t="s">
        <v>636</v>
      </c>
      <c r="B10" s="144">
        <v>14500.0</v>
      </c>
      <c r="C10" s="145">
        <f t="shared" si="1"/>
        <v>15950</v>
      </c>
      <c r="D10" s="146">
        <v>17500.0</v>
      </c>
      <c r="E10" s="147" t="s">
        <v>637</v>
      </c>
      <c r="F10" s="144">
        <v>15500.0</v>
      </c>
      <c r="G10" s="145"/>
      <c r="H10" s="148"/>
      <c r="I10" s="147" t="s">
        <v>638</v>
      </c>
      <c r="J10" s="129">
        <v>15000.0</v>
      </c>
      <c r="K10" s="149">
        <f t="shared" si="3"/>
        <v>16500</v>
      </c>
    </row>
    <row r="11">
      <c r="A11" s="147" t="s">
        <v>639</v>
      </c>
      <c r="B11" s="144">
        <v>18000.0</v>
      </c>
      <c r="C11" s="145">
        <f t="shared" si="1"/>
        <v>19800</v>
      </c>
      <c r="D11" s="146">
        <v>22000.0</v>
      </c>
      <c r="E11" s="103" t="s">
        <v>640</v>
      </c>
      <c r="F11" s="144">
        <v>12500.0</v>
      </c>
      <c r="G11" s="145">
        <f t="shared" ref="G11:G87" si="4">(F11*1.1)</f>
        <v>13750</v>
      </c>
      <c r="H11" s="148"/>
      <c r="I11" s="147" t="s">
        <v>641</v>
      </c>
      <c r="J11" s="129">
        <v>15500.0</v>
      </c>
      <c r="K11" s="149">
        <f t="shared" si="3"/>
        <v>17050</v>
      </c>
    </row>
    <row r="12">
      <c r="A12" s="147" t="s">
        <v>642</v>
      </c>
      <c r="B12" s="144">
        <v>13000.0</v>
      </c>
      <c r="C12" s="145">
        <f t="shared" si="1"/>
        <v>14300</v>
      </c>
      <c r="D12" s="146">
        <v>18000.0</v>
      </c>
      <c r="E12" s="147" t="s">
        <v>643</v>
      </c>
      <c r="F12" s="144">
        <v>12500.0</v>
      </c>
      <c r="G12" s="145">
        <f t="shared" si="4"/>
        <v>13750</v>
      </c>
      <c r="H12" s="148"/>
      <c r="I12" s="147" t="s">
        <v>644</v>
      </c>
      <c r="J12" s="129">
        <v>15500.0</v>
      </c>
      <c r="K12" s="149">
        <f t="shared" si="3"/>
        <v>17050</v>
      </c>
    </row>
    <row r="13">
      <c r="A13" s="143" t="s">
        <v>645</v>
      </c>
      <c r="B13" s="144">
        <v>18500.0</v>
      </c>
      <c r="C13" s="145">
        <f t="shared" si="1"/>
        <v>20350</v>
      </c>
      <c r="D13" s="146">
        <v>22500.0</v>
      </c>
      <c r="E13" s="147" t="s">
        <v>646</v>
      </c>
      <c r="F13" s="144">
        <v>13500.0</v>
      </c>
      <c r="G13" s="145">
        <f t="shared" si="4"/>
        <v>14850</v>
      </c>
      <c r="H13" s="148"/>
      <c r="I13" s="147" t="s">
        <v>647</v>
      </c>
      <c r="J13" s="129">
        <v>16000.0</v>
      </c>
      <c r="K13" s="149">
        <f t="shared" si="3"/>
        <v>17600</v>
      </c>
    </row>
    <row r="14">
      <c r="A14" s="103" t="s">
        <v>648</v>
      </c>
      <c r="B14" s="144">
        <v>18500.0</v>
      </c>
      <c r="C14" s="145">
        <f t="shared" si="1"/>
        <v>20350</v>
      </c>
      <c r="D14" s="146">
        <v>22500.0</v>
      </c>
      <c r="E14" s="147" t="s">
        <v>649</v>
      </c>
      <c r="F14" s="144">
        <v>13500.0</v>
      </c>
      <c r="G14" s="145">
        <f t="shared" si="4"/>
        <v>14850</v>
      </c>
      <c r="H14" s="148"/>
      <c r="I14" s="147" t="s">
        <v>650</v>
      </c>
      <c r="J14" s="129">
        <v>18000.0</v>
      </c>
      <c r="K14" s="149">
        <f t="shared" si="3"/>
        <v>19800</v>
      </c>
    </row>
    <row r="15">
      <c r="A15" s="147" t="s">
        <v>651</v>
      </c>
      <c r="B15" s="144">
        <v>18500.0</v>
      </c>
      <c r="C15" s="145">
        <f t="shared" si="1"/>
        <v>20350</v>
      </c>
      <c r="D15" s="146">
        <v>25000.0</v>
      </c>
      <c r="E15" s="147" t="s">
        <v>652</v>
      </c>
      <c r="F15" s="144">
        <v>13500.0</v>
      </c>
      <c r="G15" s="145">
        <f t="shared" si="4"/>
        <v>14850</v>
      </c>
      <c r="H15" s="148"/>
      <c r="I15" s="147" t="s">
        <v>653</v>
      </c>
      <c r="J15" s="129">
        <v>18500.0</v>
      </c>
      <c r="K15" s="149">
        <f t="shared" si="3"/>
        <v>20350</v>
      </c>
    </row>
    <row r="16">
      <c r="A16" s="147" t="s">
        <v>654</v>
      </c>
      <c r="B16" s="144">
        <v>14000.0</v>
      </c>
      <c r="C16" s="145">
        <f t="shared" si="1"/>
        <v>15400</v>
      </c>
      <c r="D16" s="146">
        <v>17500.0</v>
      </c>
      <c r="E16" s="147" t="s">
        <v>655</v>
      </c>
      <c r="F16" s="144">
        <v>13500.0</v>
      </c>
      <c r="G16" s="145">
        <f t="shared" si="4"/>
        <v>14850</v>
      </c>
      <c r="H16" s="148"/>
      <c r="I16" s="147" t="s">
        <v>656</v>
      </c>
      <c r="J16" s="129">
        <v>19500.0</v>
      </c>
      <c r="K16" s="149">
        <f t="shared" si="3"/>
        <v>21450</v>
      </c>
    </row>
    <row r="17">
      <c r="A17" s="147" t="s">
        <v>657</v>
      </c>
      <c r="B17" s="144">
        <v>18000.0</v>
      </c>
      <c r="C17" s="145">
        <f t="shared" si="1"/>
        <v>19800</v>
      </c>
      <c r="D17" s="146">
        <v>22000.0</v>
      </c>
      <c r="E17" s="103" t="s">
        <v>658</v>
      </c>
      <c r="F17" s="144">
        <v>15000.0</v>
      </c>
      <c r="G17" s="145">
        <f t="shared" si="4"/>
        <v>16500</v>
      </c>
      <c r="H17" s="148"/>
      <c r="I17" s="147" t="s">
        <v>659</v>
      </c>
      <c r="J17" s="129">
        <v>24000.0</v>
      </c>
      <c r="K17" s="149">
        <f t="shared" si="3"/>
        <v>26400</v>
      </c>
    </row>
    <row r="18">
      <c r="A18" s="147" t="s">
        <v>660</v>
      </c>
      <c r="B18" s="144">
        <v>18500.0</v>
      </c>
      <c r="C18" s="145">
        <f t="shared" si="1"/>
        <v>20350</v>
      </c>
      <c r="D18" s="146">
        <v>25000.0</v>
      </c>
      <c r="E18" s="147" t="s">
        <v>661</v>
      </c>
      <c r="F18" s="144">
        <v>15000.0</v>
      </c>
      <c r="G18" s="145">
        <f t="shared" si="4"/>
        <v>16500</v>
      </c>
      <c r="H18" s="148"/>
      <c r="I18" s="147" t="s">
        <v>662</v>
      </c>
      <c r="J18" s="129">
        <v>25000.0</v>
      </c>
      <c r="K18" s="149">
        <f t="shared" si="3"/>
        <v>27500</v>
      </c>
    </row>
    <row r="19">
      <c r="A19" s="143" t="s">
        <v>663</v>
      </c>
      <c r="B19" s="144">
        <v>14500.0</v>
      </c>
      <c r="C19" s="145">
        <f t="shared" si="1"/>
        <v>15950</v>
      </c>
      <c r="D19" s="146">
        <v>17500.0</v>
      </c>
      <c r="E19" s="147" t="s">
        <v>664</v>
      </c>
      <c r="F19" s="144">
        <v>15000.0</v>
      </c>
      <c r="G19" s="145">
        <f t="shared" si="4"/>
        <v>16500</v>
      </c>
      <c r="H19" s="148"/>
      <c r="I19" s="147" t="s">
        <v>665</v>
      </c>
      <c r="J19" s="129">
        <v>28000.0</v>
      </c>
      <c r="K19" s="149">
        <f t="shared" si="3"/>
        <v>30800</v>
      </c>
    </row>
    <row r="20">
      <c r="A20" s="147" t="s">
        <v>666</v>
      </c>
      <c r="B20" s="144">
        <v>18500.0</v>
      </c>
      <c r="C20" s="145">
        <f t="shared" si="1"/>
        <v>20350</v>
      </c>
      <c r="D20" s="146">
        <v>23000.0</v>
      </c>
      <c r="E20" s="147" t="s">
        <v>667</v>
      </c>
      <c r="F20" s="144">
        <v>15000.0</v>
      </c>
      <c r="G20" s="145">
        <f t="shared" si="4"/>
        <v>16500</v>
      </c>
      <c r="H20" s="148"/>
      <c r="I20" s="147" t="s">
        <v>668</v>
      </c>
      <c r="J20" s="129">
        <v>26000.0</v>
      </c>
      <c r="K20" s="149">
        <f t="shared" si="3"/>
        <v>28600</v>
      </c>
    </row>
    <row r="21">
      <c r="A21" s="147" t="s">
        <v>669</v>
      </c>
      <c r="B21" s="144">
        <v>15000.0</v>
      </c>
      <c r="C21" s="145">
        <f t="shared" si="1"/>
        <v>16500</v>
      </c>
      <c r="D21" s="146">
        <v>18000.0</v>
      </c>
      <c r="E21" s="147" t="s">
        <v>670</v>
      </c>
      <c r="F21" s="144">
        <v>15000.0</v>
      </c>
      <c r="G21" s="145">
        <f t="shared" si="4"/>
        <v>16500</v>
      </c>
      <c r="H21" s="148"/>
      <c r="I21" s="147" t="s">
        <v>671</v>
      </c>
      <c r="J21" s="129">
        <v>32000.0</v>
      </c>
      <c r="K21" s="149">
        <f t="shared" si="3"/>
        <v>35200</v>
      </c>
    </row>
    <row r="22">
      <c r="A22" s="147" t="s">
        <v>672</v>
      </c>
      <c r="B22" s="144">
        <v>18500.0</v>
      </c>
      <c r="C22" s="145">
        <f t="shared" si="1"/>
        <v>20350</v>
      </c>
      <c r="D22" s="146">
        <v>23000.0</v>
      </c>
      <c r="E22" s="147" t="s">
        <v>673</v>
      </c>
      <c r="F22" s="144">
        <v>18500.0</v>
      </c>
      <c r="G22" s="145">
        <f t="shared" si="4"/>
        <v>20350</v>
      </c>
      <c r="H22" s="148"/>
      <c r="I22" s="147" t="s">
        <v>674</v>
      </c>
      <c r="J22" s="129">
        <v>35000.0</v>
      </c>
      <c r="K22" s="149">
        <f t="shared" si="3"/>
        <v>38500</v>
      </c>
    </row>
    <row r="23">
      <c r="A23" s="143" t="s">
        <v>675</v>
      </c>
      <c r="B23" s="144">
        <v>15000.0</v>
      </c>
      <c r="C23" s="145">
        <f t="shared" si="1"/>
        <v>16500</v>
      </c>
      <c r="D23" s="146">
        <v>18000.0</v>
      </c>
      <c r="E23" s="147" t="s">
        <v>676</v>
      </c>
      <c r="F23" s="144">
        <v>15500.0</v>
      </c>
      <c r="G23" s="145">
        <f t="shared" si="4"/>
        <v>17050</v>
      </c>
      <c r="H23" s="148"/>
      <c r="I23" s="147" t="s">
        <v>677</v>
      </c>
      <c r="J23" s="129">
        <v>38000.0</v>
      </c>
      <c r="K23" s="149">
        <f t="shared" si="3"/>
        <v>41800</v>
      </c>
    </row>
    <row r="24">
      <c r="A24" s="147" t="s">
        <v>678</v>
      </c>
      <c r="B24" s="144">
        <v>18500.0</v>
      </c>
      <c r="C24" s="145">
        <f t="shared" si="1"/>
        <v>20350</v>
      </c>
      <c r="D24" s="146">
        <v>24000.0</v>
      </c>
      <c r="E24" s="103" t="s">
        <v>679</v>
      </c>
      <c r="F24" s="144">
        <v>18500.0</v>
      </c>
      <c r="G24" s="145">
        <f t="shared" si="4"/>
        <v>20350</v>
      </c>
      <c r="H24" s="148"/>
      <c r="I24" s="103" t="s">
        <v>680</v>
      </c>
      <c r="J24" s="150"/>
    </row>
    <row r="25">
      <c r="A25" s="143" t="s">
        <v>681</v>
      </c>
      <c r="B25" s="144">
        <v>20000.0</v>
      </c>
      <c r="C25" s="145">
        <f t="shared" si="1"/>
        <v>22000</v>
      </c>
      <c r="D25" s="146">
        <v>25000.0</v>
      </c>
      <c r="E25" s="147" t="s">
        <v>682</v>
      </c>
      <c r="F25" s="144">
        <v>18500.0</v>
      </c>
      <c r="G25" s="145">
        <f t="shared" si="4"/>
        <v>20350</v>
      </c>
      <c r="H25" s="148"/>
      <c r="I25" s="103" t="s">
        <v>683</v>
      </c>
      <c r="J25" s="150"/>
    </row>
    <row r="26">
      <c r="A26" s="103" t="s">
        <v>684</v>
      </c>
      <c r="B26" s="144">
        <v>19500.0</v>
      </c>
      <c r="C26" s="145">
        <f t="shared" si="1"/>
        <v>21450</v>
      </c>
      <c r="D26" s="146">
        <v>24500.0</v>
      </c>
      <c r="E26" s="147" t="s">
        <v>685</v>
      </c>
      <c r="F26" s="144">
        <v>18500.0</v>
      </c>
      <c r="G26" s="145">
        <f t="shared" si="4"/>
        <v>20350</v>
      </c>
      <c r="H26" s="148"/>
      <c r="I26" s="103" t="s">
        <v>686</v>
      </c>
      <c r="J26" s="150"/>
    </row>
    <row r="27">
      <c r="A27" s="103" t="s">
        <v>687</v>
      </c>
      <c r="B27" s="144">
        <v>20500.0</v>
      </c>
      <c r="C27" s="145">
        <f t="shared" si="1"/>
        <v>22550</v>
      </c>
      <c r="D27" s="146">
        <v>25500.0</v>
      </c>
      <c r="E27" s="103" t="s">
        <v>688</v>
      </c>
      <c r="F27" s="144">
        <v>19500.0</v>
      </c>
      <c r="G27" s="145">
        <f t="shared" si="4"/>
        <v>21450</v>
      </c>
      <c r="H27" s="148"/>
      <c r="I27" s="38"/>
      <c r="J27" s="128"/>
    </row>
    <row r="28">
      <c r="A28" s="151" t="s">
        <v>689</v>
      </c>
      <c r="B28" s="144">
        <v>21500.0</v>
      </c>
      <c r="C28" s="145">
        <f t="shared" si="1"/>
        <v>23650</v>
      </c>
      <c r="D28" s="146">
        <v>26500.0</v>
      </c>
      <c r="E28" s="103" t="s">
        <v>690</v>
      </c>
      <c r="F28" s="144">
        <v>18500.0</v>
      </c>
      <c r="G28" s="145">
        <f t="shared" si="4"/>
        <v>20350</v>
      </c>
      <c r="H28" s="148"/>
      <c r="I28" s="147" t="s">
        <v>691</v>
      </c>
      <c r="J28" s="128"/>
    </row>
    <row r="29">
      <c r="A29" s="147" t="s">
        <v>692</v>
      </c>
      <c r="B29" s="144">
        <v>18500.0</v>
      </c>
      <c r="C29" s="145">
        <f t="shared" si="1"/>
        <v>20350</v>
      </c>
      <c r="D29" s="146">
        <v>24000.0</v>
      </c>
      <c r="E29" s="151" t="s">
        <v>693</v>
      </c>
      <c r="F29" s="144">
        <v>19500.0</v>
      </c>
      <c r="G29" s="145">
        <f t="shared" si="4"/>
        <v>21450</v>
      </c>
      <c r="H29" s="148"/>
      <c r="I29" s="38"/>
      <c r="J29" s="128"/>
    </row>
    <row r="30">
      <c r="A30" s="143" t="s">
        <v>694</v>
      </c>
      <c r="B30" s="144">
        <v>18500.0</v>
      </c>
      <c r="C30" s="145">
        <f t="shared" si="1"/>
        <v>20350</v>
      </c>
      <c r="D30" s="146">
        <v>24000.0</v>
      </c>
      <c r="E30" s="103" t="s">
        <v>695</v>
      </c>
      <c r="F30" s="144">
        <v>19500.0</v>
      </c>
      <c r="G30" s="145">
        <f t="shared" si="4"/>
        <v>21450</v>
      </c>
      <c r="H30" s="148"/>
      <c r="I30" s="147" t="s">
        <v>691</v>
      </c>
      <c r="J30" s="128"/>
    </row>
    <row r="31">
      <c r="A31" s="143" t="s">
        <v>696</v>
      </c>
      <c r="B31" s="144">
        <v>18500.0</v>
      </c>
      <c r="C31" s="145">
        <f t="shared" si="1"/>
        <v>20350</v>
      </c>
      <c r="D31" s="146">
        <v>24000.0</v>
      </c>
      <c r="E31" s="147" t="s">
        <v>697</v>
      </c>
      <c r="F31" s="144">
        <v>18500.0</v>
      </c>
      <c r="G31" s="145">
        <f t="shared" si="4"/>
        <v>20350</v>
      </c>
      <c r="H31" s="148"/>
      <c r="I31" s="38"/>
      <c r="J31" s="128"/>
    </row>
    <row r="32">
      <c r="A32" s="143" t="s">
        <v>698</v>
      </c>
      <c r="B32" s="144">
        <v>20500.0</v>
      </c>
      <c r="C32" s="145">
        <f t="shared" si="1"/>
        <v>22550</v>
      </c>
      <c r="D32" s="146">
        <v>25500.0</v>
      </c>
      <c r="E32" s="147" t="s">
        <v>699</v>
      </c>
      <c r="F32" s="144">
        <v>12500.0</v>
      </c>
      <c r="G32" s="145">
        <f t="shared" si="4"/>
        <v>13750</v>
      </c>
      <c r="H32" s="148"/>
      <c r="I32" s="38"/>
      <c r="J32" s="38"/>
    </row>
    <row r="33">
      <c r="A33" s="143" t="s">
        <v>700</v>
      </c>
      <c r="B33" s="144">
        <v>25000.0</v>
      </c>
      <c r="C33" s="145">
        <f t="shared" si="1"/>
        <v>27500</v>
      </c>
      <c r="D33" s="146">
        <v>29000.0</v>
      </c>
      <c r="E33" s="147" t="s">
        <v>701</v>
      </c>
      <c r="F33" s="144">
        <v>12500.0</v>
      </c>
      <c r="G33" s="145">
        <f t="shared" si="4"/>
        <v>13750</v>
      </c>
      <c r="H33" s="148"/>
      <c r="I33" s="38"/>
      <c r="J33" s="38"/>
    </row>
    <row r="34">
      <c r="A34" s="143" t="s">
        <v>702</v>
      </c>
      <c r="B34" s="144">
        <v>18500.0</v>
      </c>
      <c r="C34" s="145">
        <f t="shared" si="1"/>
        <v>20350</v>
      </c>
      <c r="D34" s="146">
        <v>24000.0</v>
      </c>
      <c r="E34" s="147" t="s">
        <v>703</v>
      </c>
      <c r="F34" s="144">
        <v>12500.0</v>
      </c>
      <c r="G34" s="145">
        <f t="shared" si="4"/>
        <v>13750</v>
      </c>
      <c r="H34" s="148"/>
      <c r="I34" s="38"/>
      <c r="J34" s="38"/>
    </row>
    <row r="35">
      <c r="A35" s="147" t="s">
        <v>704</v>
      </c>
      <c r="B35" s="144">
        <v>19500.0</v>
      </c>
      <c r="C35" s="145">
        <f t="shared" si="1"/>
        <v>21450</v>
      </c>
      <c r="D35" s="146">
        <v>24500.0</v>
      </c>
      <c r="E35" s="147" t="s">
        <v>705</v>
      </c>
      <c r="F35" s="144">
        <v>13500.0</v>
      </c>
      <c r="G35" s="145">
        <f t="shared" si="4"/>
        <v>14850</v>
      </c>
      <c r="H35" s="148"/>
      <c r="I35" s="38"/>
      <c r="J35" s="38"/>
    </row>
    <row r="36">
      <c r="A36" s="147" t="s">
        <v>706</v>
      </c>
      <c r="B36" s="144">
        <v>23500.0</v>
      </c>
      <c r="C36" s="145">
        <f t="shared" si="1"/>
        <v>25850</v>
      </c>
      <c r="D36" s="146">
        <v>29000.0</v>
      </c>
      <c r="E36" s="147" t="s">
        <v>707</v>
      </c>
      <c r="F36" s="144">
        <v>13500.0</v>
      </c>
      <c r="G36" s="145">
        <f t="shared" si="4"/>
        <v>14850</v>
      </c>
      <c r="H36" s="148"/>
      <c r="I36" s="38"/>
      <c r="J36" s="38"/>
    </row>
    <row r="37">
      <c r="A37" s="147" t="s">
        <v>708</v>
      </c>
      <c r="B37" s="144">
        <v>19500.0</v>
      </c>
      <c r="C37" s="145">
        <f t="shared" si="1"/>
        <v>21450</v>
      </c>
      <c r="D37" s="146">
        <v>24500.0</v>
      </c>
      <c r="E37" s="147" t="s">
        <v>709</v>
      </c>
      <c r="F37" s="144">
        <v>13500.0</v>
      </c>
      <c r="G37" s="145">
        <f t="shared" si="4"/>
        <v>14850</v>
      </c>
      <c r="H37" s="148"/>
      <c r="I37" s="38"/>
      <c r="J37" s="38"/>
    </row>
    <row r="38">
      <c r="A38" s="143" t="s">
        <v>710</v>
      </c>
      <c r="B38" s="144">
        <v>19500.0</v>
      </c>
      <c r="C38" s="145">
        <f t="shared" si="1"/>
        <v>21450</v>
      </c>
      <c r="D38" s="146">
        <v>24500.0</v>
      </c>
      <c r="E38" s="147" t="s">
        <v>711</v>
      </c>
      <c r="F38" s="144">
        <v>15000.0</v>
      </c>
      <c r="G38" s="145">
        <f t="shared" si="4"/>
        <v>16500</v>
      </c>
      <c r="H38" s="148"/>
      <c r="I38" s="38"/>
      <c r="J38" s="38"/>
    </row>
    <row r="39">
      <c r="A39" s="147" t="s">
        <v>712</v>
      </c>
      <c r="B39" s="144">
        <v>20500.0</v>
      </c>
      <c r="C39" s="145">
        <f t="shared" si="1"/>
        <v>22550</v>
      </c>
      <c r="D39" s="146">
        <v>25500.0</v>
      </c>
      <c r="E39" s="147" t="s">
        <v>713</v>
      </c>
      <c r="F39" s="144">
        <v>18500.0</v>
      </c>
      <c r="G39" s="145">
        <f t="shared" si="4"/>
        <v>20350</v>
      </c>
      <c r="H39" s="148"/>
      <c r="I39" s="38"/>
      <c r="J39" s="38"/>
    </row>
    <row r="40">
      <c r="A40" s="143" t="s">
        <v>714</v>
      </c>
      <c r="B40" s="144">
        <v>25500.0</v>
      </c>
      <c r="C40" s="145">
        <f t="shared" si="1"/>
        <v>28050</v>
      </c>
      <c r="D40" s="146">
        <v>35000.0</v>
      </c>
      <c r="E40" s="147" t="s">
        <v>715</v>
      </c>
      <c r="F40" s="144">
        <v>18500.0</v>
      </c>
      <c r="G40" s="145">
        <f t="shared" si="4"/>
        <v>20350</v>
      </c>
      <c r="H40" s="148"/>
      <c r="I40" s="38"/>
      <c r="J40" s="38"/>
    </row>
    <row r="41">
      <c r="A41" s="147" t="s">
        <v>716</v>
      </c>
      <c r="B41" s="144">
        <v>25500.0</v>
      </c>
      <c r="C41" s="145">
        <f t="shared" si="1"/>
        <v>28050</v>
      </c>
      <c r="D41" s="146">
        <v>35000.0</v>
      </c>
      <c r="E41" s="147" t="s">
        <v>717</v>
      </c>
      <c r="F41" s="144">
        <v>18500.0</v>
      </c>
      <c r="G41" s="145">
        <f t="shared" si="4"/>
        <v>20350</v>
      </c>
      <c r="H41" s="148"/>
      <c r="I41" s="38"/>
      <c r="J41" s="38"/>
    </row>
    <row r="42">
      <c r="A42" s="143" t="s">
        <v>718</v>
      </c>
      <c r="B42" s="144">
        <v>26500.0</v>
      </c>
      <c r="C42" s="145">
        <f t="shared" si="1"/>
        <v>29150</v>
      </c>
      <c r="D42" s="146" t="s">
        <v>19</v>
      </c>
      <c r="E42" s="147" t="s">
        <v>719</v>
      </c>
      <c r="F42" s="144">
        <v>18000.0</v>
      </c>
      <c r="G42" s="145">
        <f t="shared" si="4"/>
        <v>19800</v>
      </c>
      <c r="H42" s="148"/>
      <c r="I42" s="38"/>
      <c r="J42" s="38"/>
    </row>
    <row r="43">
      <c r="A43" s="147" t="s">
        <v>720</v>
      </c>
      <c r="B43" s="144">
        <v>25000.0</v>
      </c>
      <c r="C43" s="145">
        <f t="shared" si="1"/>
        <v>27500</v>
      </c>
      <c r="D43" s="146">
        <v>29000.0</v>
      </c>
      <c r="E43" s="147" t="s">
        <v>721</v>
      </c>
      <c r="F43" s="144">
        <v>18000.0</v>
      </c>
      <c r="G43" s="145">
        <f t="shared" si="4"/>
        <v>19800</v>
      </c>
      <c r="H43" s="148"/>
      <c r="I43" s="38"/>
      <c r="J43" s="38"/>
    </row>
    <row r="44">
      <c r="A44" s="147" t="s">
        <v>722</v>
      </c>
      <c r="B44" s="144">
        <v>25000.0</v>
      </c>
      <c r="C44" s="145">
        <f t="shared" si="1"/>
        <v>27500</v>
      </c>
      <c r="D44" s="146">
        <v>29000.0</v>
      </c>
      <c r="E44" s="147" t="s">
        <v>723</v>
      </c>
      <c r="F44" s="144">
        <v>15000.0</v>
      </c>
      <c r="G44" s="145">
        <f t="shared" si="4"/>
        <v>16500</v>
      </c>
      <c r="H44" s="148"/>
      <c r="I44" s="38"/>
      <c r="J44" s="38"/>
    </row>
    <row r="45">
      <c r="A45" s="147" t="s">
        <v>724</v>
      </c>
      <c r="B45" s="144">
        <v>25500.0</v>
      </c>
      <c r="C45" s="145">
        <f t="shared" si="1"/>
        <v>28050</v>
      </c>
      <c r="D45" s="146">
        <v>35000.0</v>
      </c>
      <c r="E45" s="147" t="s">
        <v>725</v>
      </c>
      <c r="F45" s="144">
        <v>18000.0</v>
      </c>
      <c r="G45" s="145">
        <f t="shared" si="4"/>
        <v>19800</v>
      </c>
      <c r="H45" s="148"/>
      <c r="I45" s="38"/>
      <c r="J45" s="38"/>
    </row>
    <row r="46">
      <c r="A46" s="147" t="s">
        <v>726</v>
      </c>
      <c r="B46" s="144">
        <v>25500.0</v>
      </c>
      <c r="C46" s="145">
        <f t="shared" si="1"/>
        <v>28050</v>
      </c>
      <c r="D46" s="146" t="s">
        <v>19</v>
      </c>
      <c r="E46" s="103" t="s">
        <v>727</v>
      </c>
      <c r="F46" s="144">
        <v>18500.0</v>
      </c>
      <c r="G46" s="145">
        <f t="shared" si="4"/>
        <v>20350</v>
      </c>
      <c r="H46" s="148"/>
      <c r="I46" s="38"/>
      <c r="J46" s="38"/>
    </row>
    <row r="47">
      <c r="A47" s="147" t="s">
        <v>728</v>
      </c>
      <c r="B47" s="144">
        <v>26500.0</v>
      </c>
      <c r="C47" s="145">
        <f t="shared" si="1"/>
        <v>29150</v>
      </c>
      <c r="D47" s="146" t="s">
        <v>19</v>
      </c>
      <c r="E47" s="147" t="s">
        <v>729</v>
      </c>
      <c r="F47" s="144">
        <v>18500.0</v>
      </c>
      <c r="G47" s="145">
        <f t="shared" si="4"/>
        <v>20350</v>
      </c>
      <c r="H47" s="148"/>
      <c r="I47" s="38"/>
      <c r="J47" s="38"/>
    </row>
    <row r="48">
      <c r="A48" s="147" t="s">
        <v>730</v>
      </c>
      <c r="B48" s="144">
        <v>15000.0</v>
      </c>
      <c r="C48" s="145">
        <f t="shared" si="1"/>
        <v>16500</v>
      </c>
      <c r="D48" s="146" t="s">
        <v>19</v>
      </c>
      <c r="E48" s="147" t="s">
        <v>731</v>
      </c>
      <c r="F48" s="144">
        <v>18500.0</v>
      </c>
      <c r="G48" s="145">
        <f t="shared" si="4"/>
        <v>20350</v>
      </c>
      <c r="H48" s="148"/>
      <c r="I48" s="38"/>
      <c r="J48" s="38"/>
    </row>
    <row r="49">
      <c r="A49" s="147" t="s">
        <v>732</v>
      </c>
      <c r="B49" s="144">
        <v>12500.0</v>
      </c>
      <c r="C49" s="145">
        <f t="shared" si="1"/>
        <v>13750</v>
      </c>
      <c r="D49" s="146">
        <v>15000.0</v>
      </c>
      <c r="E49" s="147" t="s">
        <v>733</v>
      </c>
      <c r="F49" s="144">
        <v>18500.0</v>
      </c>
      <c r="G49" s="145">
        <f t="shared" si="4"/>
        <v>20350</v>
      </c>
      <c r="H49" s="148"/>
      <c r="I49" s="38"/>
      <c r="J49" s="38"/>
    </row>
    <row r="50">
      <c r="A50" s="147" t="s">
        <v>734</v>
      </c>
      <c r="B50" s="144">
        <v>12500.0</v>
      </c>
      <c r="C50" s="145">
        <f t="shared" si="1"/>
        <v>13750</v>
      </c>
      <c r="D50" s="146">
        <v>15000.0</v>
      </c>
      <c r="E50" s="147" t="s">
        <v>735</v>
      </c>
      <c r="F50" s="144">
        <v>18500.0</v>
      </c>
      <c r="G50" s="145">
        <f t="shared" si="4"/>
        <v>20350</v>
      </c>
      <c r="H50" s="148"/>
      <c r="I50" s="38"/>
      <c r="J50" s="38"/>
    </row>
    <row r="51">
      <c r="A51" s="147" t="s">
        <v>736</v>
      </c>
      <c r="B51" s="144">
        <v>12500.0</v>
      </c>
      <c r="C51" s="145">
        <f t="shared" si="1"/>
        <v>13750</v>
      </c>
      <c r="D51" s="146">
        <v>15000.0</v>
      </c>
      <c r="E51" s="147" t="s">
        <v>737</v>
      </c>
      <c r="F51" s="144">
        <v>18500.0</v>
      </c>
      <c r="G51" s="145">
        <f t="shared" si="4"/>
        <v>20350</v>
      </c>
      <c r="H51" s="148"/>
      <c r="I51" s="38"/>
      <c r="J51" s="38"/>
    </row>
    <row r="52">
      <c r="A52" s="147" t="s">
        <v>738</v>
      </c>
      <c r="B52" s="144">
        <v>12500.0</v>
      </c>
      <c r="C52" s="145">
        <f t="shared" si="1"/>
        <v>13750</v>
      </c>
      <c r="D52" s="146">
        <v>15000.0</v>
      </c>
      <c r="E52" s="147" t="s">
        <v>739</v>
      </c>
      <c r="F52" s="144">
        <v>18500.0</v>
      </c>
      <c r="G52" s="145">
        <f t="shared" si="4"/>
        <v>20350</v>
      </c>
      <c r="H52" s="148"/>
      <c r="I52" s="38"/>
      <c r="J52" s="38"/>
    </row>
    <row r="53">
      <c r="A53" s="147" t="s">
        <v>740</v>
      </c>
      <c r="B53" s="144">
        <v>13000.0</v>
      </c>
      <c r="C53" s="145">
        <f t="shared" si="1"/>
        <v>14300</v>
      </c>
      <c r="D53" s="146">
        <v>16000.0</v>
      </c>
      <c r="E53" s="147" t="s">
        <v>741</v>
      </c>
      <c r="F53" s="144">
        <v>18500.0</v>
      </c>
      <c r="G53" s="145">
        <f t="shared" si="4"/>
        <v>20350</v>
      </c>
      <c r="H53" s="148"/>
      <c r="I53" s="38"/>
      <c r="J53" s="38"/>
    </row>
    <row r="54">
      <c r="A54" s="147" t="s">
        <v>742</v>
      </c>
      <c r="B54" s="144">
        <v>13000.0</v>
      </c>
      <c r="C54" s="145">
        <f t="shared" si="1"/>
        <v>14300</v>
      </c>
      <c r="D54" s="146">
        <v>16000.0</v>
      </c>
      <c r="E54" s="147" t="s">
        <v>743</v>
      </c>
      <c r="F54" s="144">
        <v>19000.0</v>
      </c>
      <c r="G54" s="145">
        <f t="shared" si="4"/>
        <v>20900</v>
      </c>
      <c r="H54" s="148"/>
      <c r="I54" s="38"/>
      <c r="J54" s="38"/>
    </row>
    <row r="55">
      <c r="A55" s="147" t="s">
        <v>744</v>
      </c>
      <c r="B55" s="144">
        <v>18000.0</v>
      </c>
      <c r="C55" s="145">
        <f t="shared" si="1"/>
        <v>19800</v>
      </c>
      <c r="D55" s="146">
        <v>22000.0</v>
      </c>
      <c r="E55" s="147" t="s">
        <v>745</v>
      </c>
      <c r="F55" s="144">
        <v>19500.0</v>
      </c>
      <c r="G55" s="145">
        <f t="shared" si="4"/>
        <v>21450</v>
      </c>
      <c r="H55" s="148"/>
      <c r="I55" s="38"/>
      <c r="J55" s="38"/>
    </row>
    <row r="56">
      <c r="A56" s="147" t="s">
        <v>746</v>
      </c>
      <c r="B56" s="144">
        <v>18000.0</v>
      </c>
      <c r="C56" s="145">
        <f t="shared" si="1"/>
        <v>19800</v>
      </c>
      <c r="D56" s="146">
        <v>22000.0</v>
      </c>
      <c r="E56" s="147" t="s">
        <v>747</v>
      </c>
      <c r="F56" s="144">
        <v>19500.0</v>
      </c>
      <c r="G56" s="145">
        <f t="shared" si="4"/>
        <v>21450</v>
      </c>
      <c r="H56" s="148"/>
      <c r="I56" s="38"/>
      <c r="J56" s="38"/>
    </row>
    <row r="57">
      <c r="A57" s="147" t="s">
        <v>748</v>
      </c>
      <c r="B57" s="144">
        <v>14000.0</v>
      </c>
      <c r="C57" s="145">
        <f t="shared" si="1"/>
        <v>15400</v>
      </c>
      <c r="D57" s="146">
        <v>17000.0</v>
      </c>
      <c r="E57" s="147" t="s">
        <v>749</v>
      </c>
      <c r="F57" s="144">
        <v>19500.0</v>
      </c>
      <c r="G57" s="145">
        <f t="shared" si="4"/>
        <v>21450</v>
      </c>
      <c r="H57" s="148"/>
      <c r="I57" s="38"/>
      <c r="J57" s="38"/>
    </row>
    <row r="58">
      <c r="A58" s="103" t="s">
        <v>750</v>
      </c>
      <c r="B58" s="144">
        <v>14000.0</v>
      </c>
      <c r="C58" s="145">
        <f t="shared" si="1"/>
        <v>15400</v>
      </c>
      <c r="D58" s="146">
        <v>17000.0</v>
      </c>
      <c r="E58" s="147" t="s">
        <v>751</v>
      </c>
      <c r="F58" s="144">
        <v>19500.0</v>
      </c>
      <c r="G58" s="145">
        <f t="shared" si="4"/>
        <v>21450</v>
      </c>
      <c r="H58" s="148"/>
      <c r="I58" s="38"/>
      <c r="J58" s="38"/>
    </row>
    <row r="59">
      <c r="A59" s="147" t="s">
        <v>752</v>
      </c>
      <c r="B59" s="144">
        <v>18000.0</v>
      </c>
      <c r="C59" s="145">
        <f t="shared" si="1"/>
        <v>19800</v>
      </c>
      <c r="D59" s="146">
        <v>22000.0</v>
      </c>
      <c r="E59" s="147" t="s">
        <v>753</v>
      </c>
      <c r="F59" s="144">
        <v>19500.0</v>
      </c>
      <c r="G59" s="145">
        <f t="shared" si="4"/>
        <v>21450</v>
      </c>
      <c r="H59" s="148"/>
      <c r="I59" s="38"/>
      <c r="J59" s="38"/>
    </row>
    <row r="60">
      <c r="A60" s="147" t="s">
        <v>754</v>
      </c>
      <c r="B60" s="144">
        <v>18000.0</v>
      </c>
      <c r="C60" s="145">
        <f t="shared" si="1"/>
        <v>19800</v>
      </c>
      <c r="D60" s="146">
        <v>22000.0</v>
      </c>
      <c r="E60" s="147" t="s">
        <v>755</v>
      </c>
      <c r="F60" s="144">
        <v>19500.0</v>
      </c>
      <c r="G60" s="145">
        <f t="shared" si="4"/>
        <v>21450</v>
      </c>
      <c r="H60" s="148"/>
      <c r="I60" s="38"/>
      <c r="J60" s="38"/>
    </row>
    <row r="61">
      <c r="A61" s="147" t="s">
        <v>756</v>
      </c>
      <c r="B61" s="144">
        <v>18000.0</v>
      </c>
      <c r="C61" s="145">
        <f t="shared" si="1"/>
        <v>19800</v>
      </c>
      <c r="D61" s="146">
        <v>22000.0</v>
      </c>
      <c r="E61" s="147" t="s">
        <v>757</v>
      </c>
      <c r="F61" s="144">
        <v>19500.0</v>
      </c>
      <c r="G61" s="145">
        <f t="shared" si="4"/>
        <v>21450</v>
      </c>
      <c r="H61" s="148"/>
      <c r="I61" s="38"/>
      <c r="J61" s="38"/>
    </row>
    <row r="62">
      <c r="A62" s="147" t="s">
        <v>758</v>
      </c>
      <c r="B62" s="144">
        <v>18000.0</v>
      </c>
      <c r="C62" s="145">
        <f t="shared" si="1"/>
        <v>19800</v>
      </c>
      <c r="D62" s="146">
        <v>22000.0</v>
      </c>
      <c r="E62" s="147" t="s">
        <v>759</v>
      </c>
      <c r="F62" s="144">
        <v>20500.0</v>
      </c>
      <c r="G62" s="145">
        <f t="shared" si="4"/>
        <v>22550</v>
      </c>
      <c r="H62" s="148"/>
      <c r="I62" s="38"/>
      <c r="J62" s="38"/>
    </row>
    <row r="63">
      <c r="A63" s="147" t="s">
        <v>760</v>
      </c>
      <c r="B63" s="144">
        <v>15000.0</v>
      </c>
      <c r="C63" s="145">
        <f t="shared" si="1"/>
        <v>16500</v>
      </c>
      <c r="D63" s="146">
        <v>18000.0</v>
      </c>
      <c r="E63" s="147" t="s">
        <v>761</v>
      </c>
      <c r="F63" s="144">
        <v>20500.0</v>
      </c>
      <c r="G63" s="145">
        <f t="shared" si="4"/>
        <v>22550</v>
      </c>
      <c r="H63" s="148"/>
      <c r="I63" s="38"/>
      <c r="J63" s="38"/>
    </row>
    <row r="64">
      <c r="A64" s="147" t="s">
        <v>762</v>
      </c>
      <c r="B64" s="144">
        <v>15000.0</v>
      </c>
      <c r="C64" s="145">
        <f t="shared" si="1"/>
        <v>16500</v>
      </c>
      <c r="D64" s="146">
        <v>18000.0</v>
      </c>
      <c r="E64" s="147" t="s">
        <v>763</v>
      </c>
      <c r="F64" s="144">
        <v>20500.0</v>
      </c>
      <c r="G64" s="145">
        <f t="shared" si="4"/>
        <v>22550</v>
      </c>
      <c r="H64" s="148"/>
      <c r="I64" s="38"/>
      <c r="J64" s="38"/>
    </row>
    <row r="65">
      <c r="A65" s="147" t="s">
        <v>764</v>
      </c>
      <c r="B65" s="144">
        <v>15000.0</v>
      </c>
      <c r="C65" s="145">
        <f t="shared" si="1"/>
        <v>16500</v>
      </c>
      <c r="D65" s="146">
        <v>18000.0</v>
      </c>
      <c r="E65" s="103" t="s">
        <v>765</v>
      </c>
      <c r="F65" s="144">
        <v>19500.0</v>
      </c>
      <c r="G65" s="145">
        <f t="shared" si="4"/>
        <v>21450</v>
      </c>
      <c r="H65" s="148"/>
      <c r="I65" s="38"/>
      <c r="J65" s="38"/>
    </row>
    <row r="66">
      <c r="A66" s="147" t="s">
        <v>766</v>
      </c>
      <c r="B66" s="144">
        <v>18000.0</v>
      </c>
      <c r="C66" s="145">
        <f t="shared" si="1"/>
        <v>19800</v>
      </c>
      <c r="D66" s="146">
        <v>22000.0</v>
      </c>
      <c r="E66" s="103" t="s">
        <v>767</v>
      </c>
      <c r="F66" s="144">
        <v>20500.0</v>
      </c>
      <c r="G66" s="145">
        <f t="shared" si="4"/>
        <v>22550</v>
      </c>
      <c r="H66" s="148"/>
      <c r="I66" s="38"/>
      <c r="J66" s="38"/>
    </row>
    <row r="67">
      <c r="A67" s="147" t="s">
        <v>768</v>
      </c>
      <c r="B67" s="144">
        <v>18000.0</v>
      </c>
      <c r="C67" s="145">
        <f t="shared" si="1"/>
        <v>19800</v>
      </c>
      <c r="D67" s="146">
        <v>22000.0</v>
      </c>
      <c r="E67" s="103" t="s">
        <v>769</v>
      </c>
      <c r="F67" s="144">
        <v>20500.0</v>
      </c>
      <c r="G67" s="145">
        <f t="shared" si="4"/>
        <v>22550</v>
      </c>
      <c r="H67" s="148"/>
      <c r="I67" s="38"/>
      <c r="J67" s="38"/>
    </row>
    <row r="68">
      <c r="A68" s="147" t="s">
        <v>770</v>
      </c>
      <c r="B68" s="144">
        <v>15000.0</v>
      </c>
      <c r="C68" s="145">
        <f t="shared" si="1"/>
        <v>16500</v>
      </c>
      <c r="D68" s="146">
        <v>18000.0</v>
      </c>
      <c r="E68" s="103" t="s">
        <v>771</v>
      </c>
      <c r="F68" s="144">
        <v>20500.0</v>
      </c>
      <c r="G68" s="145">
        <f t="shared" si="4"/>
        <v>22550</v>
      </c>
      <c r="H68" s="148"/>
      <c r="I68" s="38"/>
      <c r="J68" s="38"/>
    </row>
    <row r="69">
      <c r="A69" s="147" t="s">
        <v>772</v>
      </c>
      <c r="B69" s="144">
        <v>18000.0</v>
      </c>
      <c r="C69" s="145">
        <f t="shared" si="1"/>
        <v>19800</v>
      </c>
      <c r="D69" s="146">
        <v>22000.0</v>
      </c>
      <c r="E69" s="103" t="s">
        <v>773</v>
      </c>
      <c r="F69" s="144">
        <v>22500.0</v>
      </c>
      <c r="G69" s="145">
        <f t="shared" si="4"/>
        <v>24750</v>
      </c>
      <c r="H69" s="148"/>
      <c r="I69" s="38"/>
      <c r="J69" s="38"/>
    </row>
    <row r="70">
      <c r="A70" s="143" t="s">
        <v>774</v>
      </c>
      <c r="B70" s="144">
        <v>16500.0</v>
      </c>
      <c r="C70" s="145">
        <f t="shared" si="1"/>
        <v>18150</v>
      </c>
      <c r="D70" s="146">
        <v>25000.0</v>
      </c>
      <c r="E70" s="103" t="s">
        <v>775</v>
      </c>
      <c r="F70" s="144">
        <v>18500.0</v>
      </c>
      <c r="G70" s="145">
        <f t="shared" si="4"/>
        <v>20350</v>
      </c>
      <c r="H70" s="148"/>
      <c r="I70" s="38"/>
      <c r="J70" s="38"/>
    </row>
    <row r="71">
      <c r="A71" s="147" t="s">
        <v>776</v>
      </c>
      <c r="B71" s="144">
        <v>18500.0</v>
      </c>
      <c r="C71" s="145">
        <f t="shared" si="1"/>
        <v>20350</v>
      </c>
      <c r="D71" s="146">
        <v>32500.0</v>
      </c>
      <c r="E71" s="103" t="s">
        <v>777</v>
      </c>
      <c r="F71" s="144">
        <v>18500.0</v>
      </c>
      <c r="G71" s="145">
        <f t="shared" si="4"/>
        <v>20350</v>
      </c>
      <c r="H71" s="148"/>
      <c r="I71" s="38"/>
      <c r="J71" s="38"/>
    </row>
    <row r="72">
      <c r="A72" s="143" t="s">
        <v>778</v>
      </c>
      <c r="B72" s="144">
        <v>20500.0</v>
      </c>
      <c r="C72" s="145">
        <f t="shared" si="1"/>
        <v>22550</v>
      </c>
      <c r="D72" s="146">
        <v>32500.0</v>
      </c>
      <c r="E72" s="103" t="s">
        <v>779</v>
      </c>
      <c r="F72" s="144">
        <v>19500.0</v>
      </c>
      <c r="G72" s="145">
        <f t="shared" si="4"/>
        <v>21450</v>
      </c>
      <c r="H72" s="148"/>
      <c r="I72" s="38"/>
      <c r="J72" s="38"/>
    </row>
    <row r="73">
      <c r="A73" s="147" t="s">
        <v>780</v>
      </c>
      <c r="B73" s="144">
        <v>22500.0</v>
      </c>
      <c r="C73" s="145">
        <f t="shared" si="1"/>
        <v>24750</v>
      </c>
      <c r="D73" s="146">
        <v>35000.0</v>
      </c>
      <c r="E73" s="103" t="s">
        <v>781</v>
      </c>
      <c r="F73" s="144">
        <v>18000.0</v>
      </c>
      <c r="G73" s="145">
        <f t="shared" si="4"/>
        <v>19800</v>
      </c>
      <c r="H73" s="148"/>
      <c r="I73" s="38"/>
      <c r="J73" s="38"/>
    </row>
    <row r="74">
      <c r="A74" s="147" t="s">
        <v>782</v>
      </c>
      <c r="B74" s="144">
        <v>20500.0</v>
      </c>
      <c r="C74" s="145">
        <f t="shared" si="1"/>
        <v>22550</v>
      </c>
      <c r="D74" s="146">
        <v>36500.0</v>
      </c>
      <c r="E74" s="147" t="s">
        <v>783</v>
      </c>
      <c r="F74" s="144">
        <v>18000.0</v>
      </c>
      <c r="G74" s="145">
        <f t="shared" si="4"/>
        <v>19800</v>
      </c>
      <c r="H74" s="148"/>
      <c r="I74" s="38"/>
      <c r="J74" s="38"/>
    </row>
    <row r="75">
      <c r="A75" s="103" t="s">
        <v>784</v>
      </c>
      <c r="B75" s="144">
        <v>22500.0</v>
      </c>
      <c r="C75" s="145">
        <f t="shared" si="1"/>
        <v>24750</v>
      </c>
      <c r="D75" s="146">
        <v>39500.0</v>
      </c>
      <c r="E75" s="147" t="s">
        <v>785</v>
      </c>
      <c r="F75" s="144">
        <v>22000.0</v>
      </c>
      <c r="G75" s="145">
        <f t="shared" si="4"/>
        <v>24200</v>
      </c>
      <c r="H75" s="148"/>
      <c r="I75" s="38"/>
      <c r="J75" s="38"/>
    </row>
    <row r="76">
      <c r="A76" s="147" t="s">
        <v>786</v>
      </c>
      <c r="B76" s="144">
        <v>22500.0</v>
      </c>
      <c r="C76" s="145">
        <f t="shared" si="1"/>
        <v>24750</v>
      </c>
      <c r="D76" s="146">
        <v>33000.0</v>
      </c>
      <c r="E76" s="103" t="s">
        <v>787</v>
      </c>
      <c r="F76" s="144">
        <v>28000.0</v>
      </c>
      <c r="G76" s="145">
        <f t="shared" si="4"/>
        <v>30800</v>
      </c>
      <c r="H76" s="148"/>
      <c r="I76" s="38"/>
      <c r="J76" s="38"/>
    </row>
    <row r="77">
      <c r="A77" s="147" t="s">
        <v>788</v>
      </c>
      <c r="B77" s="144">
        <v>28000.0</v>
      </c>
      <c r="C77" s="145">
        <f t="shared" si="1"/>
        <v>30800</v>
      </c>
      <c r="D77" s="146">
        <v>38000.0</v>
      </c>
      <c r="E77" s="147" t="s">
        <v>789</v>
      </c>
      <c r="F77" s="144">
        <v>9500.0</v>
      </c>
      <c r="G77" s="145">
        <f t="shared" si="4"/>
        <v>10450</v>
      </c>
      <c r="H77" s="152"/>
      <c r="I77" s="153"/>
      <c r="J77" s="38"/>
    </row>
    <row r="78">
      <c r="A78" s="147" t="s">
        <v>790</v>
      </c>
      <c r="B78" s="144">
        <v>22500.0</v>
      </c>
      <c r="C78" s="145">
        <f t="shared" si="1"/>
        <v>24750</v>
      </c>
      <c r="D78" s="146">
        <v>38000.0</v>
      </c>
      <c r="E78" s="147" t="s">
        <v>791</v>
      </c>
      <c r="F78" s="144">
        <v>25000.0</v>
      </c>
      <c r="G78" s="145">
        <f t="shared" si="4"/>
        <v>27500</v>
      </c>
      <c r="H78" s="148"/>
      <c r="I78" s="38"/>
      <c r="J78" s="38"/>
    </row>
    <row r="79">
      <c r="A79" s="147" t="s">
        <v>792</v>
      </c>
      <c r="B79" s="144">
        <v>28000.0</v>
      </c>
      <c r="C79" s="145">
        <f t="shared" si="1"/>
        <v>30800</v>
      </c>
      <c r="D79" s="146">
        <v>39500.0</v>
      </c>
      <c r="E79" s="147" t="s">
        <v>793</v>
      </c>
      <c r="F79" s="144">
        <v>25000.0</v>
      </c>
      <c r="G79" s="145">
        <f t="shared" si="4"/>
        <v>27500</v>
      </c>
      <c r="H79" s="148"/>
      <c r="I79" s="38"/>
      <c r="J79" s="38"/>
    </row>
    <row r="80">
      <c r="A80" s="147" t="s">
        <v>119</v>
      </c>
      <c r="B80" s="144">
        <v>30000.0</v>
      </c>
      <c r="C80" s="145">
        <f t="shared" si="1"/>
        <v>33000</v>
      </c>
      <c r="D80" s="146">
        <v>39500.0</v>
      </c>
      <c r="E80" s="103" t="s">
        <v>794</v>
      </c>
      <c r="F80" s="144">
        <v>28000.0</v>
      </c>
      <c r="G80" s="145">
        <f t="shared" si="4"/>
        <v>30800</v>
      </c>
      <c r="H80" s="148"/>
      <c r="I80" s="38"/>
      <c r="J80" s="38"/>
    </row>
    <row r="81">
      <c r="A81" s="147" t="s">
        <v>795</v>
      </c>
      <c r="B81" s="144">
        <v>28000.0</v>
      </c>
      <c r="C81" s="145">
        <f t="shared" si="1"/>
        <v>30800</v>
      </c>
      <c r="D81" s="146">
        <v>40500.0</v>
      </c>
      <c r="E81" s="151" t="s">
        <v>796</v>
      </c>
      <c r="F81" s="144">
        <v>22000.0</v>
      </c>
      <c r="G81" s="145">
        <f t="shared" si="4"/>
        <v>24200</v>
      </c>
      <c r="H81" s="129">
        <v>28000.0</v>
      </c>
      <c r="I81" s="38"/>
      <c r="J81" s="38"/>
    </row>
    <row r="82">
      <c r="A82" s="143" t="s">
        <v>797</v>
      </c>
      <c r="B82" s="144">
        <v>28000.0</v>
      </c>
      <c r="C82" s="145">
        <f t="shared" si="1"/>
        <v>30800</v>
      </c>
      <c r="D82" s="146">
        <v>48600.0</v>
      </c>
      <c r="E82" s="147" t="s">
        <v>798</v>
      </c>
      <c r="F82" s="144">
        <v>15000.0</v>
      </c>
      <c r="G82" s="145">
        <f t="shared" si="4"/>
        <v>16500</v>
      </c>
      <c r="H82" s="148"/>
      <c r="I82" s="38"/>
      <c r="J82" s="38"/>
    </row>
    <row r="83">
      <c r="A83" s="143" t="s">
        <v>799</v>
      </c>
      <c r="B83" s="144">
        <v>28000.0</v>
      </c>
      <c r="C83" s="145">
        <f t="shared" si="1"/>
        <v>30800</v>
      </c>
      <c r="D83" s="146">
        <v>45000.0</v>
      </c>
      <c r="E83" s="147" t="s">
        <v>303</v>
      </c>
      <c r="F83" s="144">
        <v>15000.0</v>
      </c>
      <c r="G83" s="145">
        <f t="shared" si="4"/>
        <v>16500</v>
      </c>
      <c r="H83" s="148"/>
      <c r="I83" s="38"/>
      <c r="J83" s="38"/>
    </row>
    <row r="84">
      <c r="A84" s="143" t="s">
        <v>800</v>
      </c>
      <c r="B84" s="144">
        <v>30000.0</v>
      </c>
      <c r="C84" s="145">
        <f t="shared" si="1"/>
        <v>33000</v>
      </c>
      <c r="D84" s="146">
        <v>50500.0</v>
      </c>
      <c r="E84" s="147" t="s">
        <v>801</v>
      </c>
      <c r="F84" s="144">
        <v>15000.0</v>
      </c>
      <c r="G84" s="145">
        <f t="shared" si="4"/>
        <v>16500</v>
      </c>
      <c r="H84" s="148"/>
      <c r="I84" s="38"/>
      <c r="J84" s="38"/>
    </row>
    <row r="85">
      <c r="A85" s="143" t="s">
        <v>802</v>
      </c>
      <c r="B85" s="144">
        <v>30000.0</v>
      </c>
      <c r="C85" s="145">
        <f t="shared" si="1"/>
        <v>33000</v>
      </c>
      <c r="D85" s="146">
        <v>68500.0</v>
      </c>
      <c r="E85" s="147" t="s">
        <v>803</v>
      </c>
      <c r="F85" s="144">
        <v>15800.0</v>
      </c>
      <c r="G85" s="145">
        <f t="shared" si="4"/>
        <v>17380</v>
      </c>
      <c r="H85" s="148"/>
      <c r="I85" s="38"/>
      <c r="J85" s="38"/>
    </row>
    <row r="86">
      <c r="A86" s="143" t="s">
        <v>804</v>
      </c>
      <c r="B86" s="144">
        <v>32000.0</v>
      </c>
      <c r="C86" s="145">
        <f t="shared" si="1"/>
        <v>35200</v>
      </c>
      <c r="D86" s="146">
        <v>65000.0</v>
      </c>
      <c r="E86" s="147" t="s">
        <v>805</v>
      </c>
      <c r="F86" s="144">
        <v>15800.0</v>
      </c>
      <c r="G86" s="145">
        <f t="shared" si="4"/>
        <v>17380</v>
      </c>
      <c r="H86" s="148"/>
      <c r="I86" s="38"/>
      <c r="J86" s="38"/>
    </row>
    <row r="87">
      <c r="A87" s="143" t="s">
        <v>806</v>
      </c>
      <c r="B87" s="144">
        <v>32000.0</v>
      </c>
      <c r="C87" s="145">
        <f t="shared" si="1"/>
        <v>35200</v>
      </c>
      <c r="D87" s="146">
        <v>65000.0</v>
      </c>
      <c r="E87" s="147" t="s">
        <v>807</v>
      </c>
      <c r="F87" s="144">
        <v>15800.0</v>
      </c>
      <c r="G87" s="145">
        <f t="shared" si="4"/>
        <v>17380</v>
      </c>
      <c r="H87" s="148"/>
      <c r="I87" s="38"/>
      <c r="J87" s="38"/>
    </row>
    <row r="88">
      <c r="A88" s="143" t="s">
        <v>808</v>
      </c>
      <c r="B88" s="144">
        <v>32500.0</v>
      </c>
      <c r="C88" s="145">
        <f t="shared" si="1"/>
        <v>35750</v>
      </c>
      <c r="D88" s="146" t="s">
        <v>19</v>
      </c>
      <c r="E88" s="147"/>
      <c r="F88" s="144"/>
      <c r="G88" s="145"/>
      <c r="H88" s="148"/>
      <c r="I88" s="38"/>
      <c r="J88" s="38"/>
    </row>
    <row r="89">
      <c r="A89" s="143" t="s">
        <v>809</v>
      </c>
      <c r="B89" s="144">
        <v>35000.0</v>
      </c>
      <c r="C89" s="145">
        <f t="shared" si="1"/>
        <v>38500</v>
      </c>
      <c r="D89" s="146">
        <v>68500.0</v>
      </c>
      <c r="E89" s="147"/>
      <c r="F89" s="144"/>
      <c r="G89" s="145"/>
      <c r="H89" s="148"/>
      <c r="I89" s="38"/>
      <c r="J89" s="38"/>
    </row>
    <row r="90">
      <c r="A90" s="143" t="s">
        <v>810</v>
      </c>
      <c r="B90" s="144">
        <v>38000.0</v>
      </c>
      <c r="C90" s="145">
        <f t="shared" si="1"/>
        <v>41800</v>
      </c>
      <c r="D90" s="146">
        <v>68000.0</v>
      </c>
      <c r="E90" s="147"/>
      <c r="F90" s="144"/>
      <c r="G90" s="145"/>
      <c r="H90" s="148"/>
      <c r="I90" s="38"/>
      <c r="J90" s="38"/>
    </row>
    <row r="91">
      <c r="A91" s="143" t="s">
        <v>811</v>
      </c>
      <c r="B91" s="144">
        <v>38000.0</v>
      </c>
      <c r="C91" s="145">
        <f t="shared" si="1"/>
        <v>41800</v>
      </c>
      <c r="D91" s="146">
        <v>75000.0</v>
      </c>
      <c r="E91" s="147" t="s">
        <v>812</v>
      </c>
      <c r="F91" s="144">
        <v>15800.0</v>
      </c>
      <c r="G91" s="145">
        <f t="shared" ref="G91:G101" si="5">(F91*1.1)</f>
        <v>17380</v>
      </c>
      <c r="H91" s="148"/>
      <c r="I91" s="38"/>
      <c r="J91" s="38"/>
    </row>
    <row r="92">
      <c r="A92" s="49"/>
      <c r="B92" s="154"/>
      <c r="C92" s="150"/>
      <c r="D92" s="122"/>
      <c r="E92" s="147" t="s">
        <v>813</v>
      </c>
      <c r="F92" s="144">
        <v>15800.0</v>
      </c>
      <c r="G92" s="145">
        <f t="shared" si="5"/>
        <v>17380</v>
      </c>
      <c r="H92" s="148"/>
      <c r="I92" s="38"/>
      <c r="J92" s="38"/>
    </row>
    <row r="93">
      <c r="A93" s="49"/>
      <c r="B93" s="154"/>
      <c r="C93" s="150"/>
      <c r="E93" s="147" t="s">
        <v>814</v>
      </c>
      <c r="F93" s="144">
        <v>19500.0</v>
      </c>
      <c r="G93" s="145">
        <f t="shared" si="5"/>
        <v>21450</v>
      </c>
      <c r="H93" s="148"/>
      <c r="I93" s="38"/>
      <c r="J93" s="38"/>
    </row>
    <row r="94">
      <c r="A94" s="49"/>
      <c r="B94" s="154"/>
      <c r="C94" s="150"/>
      <c r="E94" s="103" t="s">
        <v>815</v>
      </c>
      <c r="F94" s="144">
        <v>8500.0</v>
      </c>
      <c r="G94" s="145">
        <f t="shared" si="5"/>
        <v>9350</v>
      </c>
      <c r="H94" s="148"/>
      <c r="I94" s="38"/>
      <c r="J94" s="38"/>
    </row>
    <row r="95">
      <c r="A95" s="38"/>
      <c r="B95" s="155"/>
      <c r="C95" s="150"/>
      <c r="E95" s="147" t="s">
        <v>816</v>
      </c>
      <c r="F95" s="144">
        <v>8500.0</v>
      </c>
      <c r="G95" s="145">
        <f t="shared" si="5"/>
        <v>9350</v>
      </c>
      <c r="H95" s="148"/>
      <c r="I95" s="38"/>
      <c r="J95" s="38"/>
    </row>
    <row r="96">
      <c r="A96" s="38"/>
      <c r="B96" s="154"/>
      <c r="C96" s="150"/>
      <c r="D96" s="38"/>
      <c r="E96" s="147" t="s">
        <v>817</v>
      </c>
      <c r="F96" s="144">
        <v>9000.0</v>
      </c>
      <c r="G96" s="145">
        <f t="shared" si="5"/>
        <v>9900</v>
      </c>
      <c r="H96" s="148"/>
      <c r="I96" s="38"/>
      <c r="J96" s="38"/>
    </row>
    <row r="97">
      <c r="A97" s="38"/>
      <c r="B97" s="154"/>
      <c r="C97" s="150"/>
      <c r="D97" s="122"/>
      <c r="E97" s="147" t="s">
        <v>818</v>
      </c>
      <c r="F97" s="144">
        <v>9000.0</v>
      </c>
      <c r="G97" s="145">
        <f t="shared" si="5"/>
        <v>9900</v>
      </c>
      <c r="H97" s="148"/>
      <c r="I97" s="38"/>
      <c r="J97" s="38"/>
    </row>
    <row r="98">
      <c r="A98" s="38"/>
      <c r="B98" s="155"/>
      <c r="C98" s="150"/>
      <c r="D98" s="122"/>
      <c r="E98" s="103" t="s">
        <v>315</v>
      </c>
      <c r="F98" s="144">
        <v>18000.0</v>
      </c>
      <c r="G98" s="145">
        <f t="shared" si="5"/>
        <v>19800</v>
      </c>
      <c r="H98" s="148"/>
      <c r="I98" s="38"/>
      <c r="J98" s="38"/>
    </row>
    <row r="99">
      <c r="A99" s="38"/>
      <c r="B99" s="155"/>
      <c r="C99" s="150"/>
      <c r="D99" s="122"/>
      <c r="E99" s="147" t="s">
        <v>819</v>
      </c>
      <c r="F99" s="144">
        <v>18000.0</v>
      </c>
      <c r="G99" s="145">
        <f t="shared" si="5"/>
        <v>19800</v>
      </c>
      <c r="H99" s="148"/>
      <c r="I99" s="38"/>
      <c r="J99" s="38"/>
    </row>
    <row r="100">
      <c r="D100" s="122"/>
      <c r="E100" s="147" t="s">
        <v>820</v>
      </c>
      <c r="F100" s="144">
        <v>18000.0</v>
      </c>
      <c r="G100" s="145">
        <f t="shared" si="5"/>
        <v>19800</v>
      </c>
      <c r="H100" s="148"/>
      <c r="I100" s="38"/>
      <c r="J100" s="38"/>
    </row>
    <row r="101">
      <c r="A101" s="49"/>
      <c r="B101" s="154"/>
      <c r="C101" s="150"/>
      <c r="D101" s="122"/>
      <c r="E101" s="147" t="s">
        <v>821</v>
      </c>
      <c r="F101" s="144">
        <v>18000.0</v>
      </c>
      <c r="G101" s="145">
        <f t="shared" si="5"/>
        <v>19800</v>
      </c>
      <c r="H101" s="148"/>
      <c r="I101" s="38"/>
      <c r="J101" s="38"/>
    </row>
    <row r="102">
      <c r="A102" s="49"/>
      <c r="B102" s="154"/>
      <c r="C102" s="150"/>
      <c r="G102" s="150"/>
      <c r="H102" s="38"/>
      <c r="I102" s="38"/>
      <c r="J102" s="38"/>
    </row>
    <row r="103">
      <c r="A103" s="49"/>
      <c r="B103" s="154"/>
      <c r="C103" s="150"/>
      <c r="G103" s="150"/>
      <c r="H103" s="38"/>
      <c r="I103" s="38"/>
      <c r="J103" s="38"/>
    </row>
    <row r="104">
      <c r="A104" s="38"/>
      <c r="B104" s="155"/>
      <c r="C104" s="150"/>
      <c r="G104" s="150"/>
      <c r="H104" s="38"/>
      <c r="I104" s="38"/>
      <c r="J104" s="38"/>
    </row>
    <row r="105">
      <c r="A105" s="38"/>
      <c r="B105" s="154"/>
      <c r="C105" s="150"/>
      <c r="D105" s="38"/>
      <c r="E105" s="38"/>
      <c r="F105" s="38"/>
      <c r="G105" s="38"/>
      <c r="H105" s="38"/>
      <c r="I105" s="38"/>
      <c r="J105" s="38"/>
    </row>
    <row r="106">
      <c r="A106" s="38"/>
      <c r="B106" s="154"/>
      <c r="C106" s="150"/>
      <c r="D106" s="122"/>
    </row>
    <row r="107">
      <c r="A107" s="38"/>
      <c r="B107" s="155"/>
      <c r="C107" s="150"/>
      <c r="D107" s="122"/>
    </row>
    <row r="108">
      <c r="A108" s="38"/>
      <c r="B108" s="155"/>
      <c r="C108" s="150"/>
      <c r="D108" s="122"/>
    </row>
    <row r="109">
      <c r="D109" s="122"/>
    </row>
    <row r="110">
      <c r="D110" s="122"/>
    </row>
    <row r="111">
      <c r="D111" s="122"/>
    </row>
    <row r="112">
      <c r="D112" s="122"/>
    </row>
    <row r="115">
      <c r="A115" s="38"/>
      <c r="B115" s="38"/>
    </row>
    <row r="116">
      <c r="A116" s="38"/>
      <c r="B116" s="38"/>
      <c r="D116" s="38"/>
    </row>
    <row r="117">
      <c r="A117" s="147"/>
      <c r="B117" s="156"/>
      <c r="C117" s="150"/>
      <c r="D117" s="122"/>
    </row>
    <row r="118">
      <c r="A118" s="143"/>
      <c r="B118" s="156"/>
      <c r="C118" s="150"/>
      <c r="D118" s="122"/>
    </row>
    <row r="119">
      <c r="A119" s="143"/>
      <c r="B119" s="156"/>
      <c r="C119" s="150"/>
      <c r="D119" s="122"/>
    </row>
    <row r="120">
      <c r="A120" s="143"/>
      <c r="B120" s="156"/>
      <c r="C120" s="150"/>
      <c r="D120" s="122"/>
    </row>
    <row r="121">
      <c r="B121" s="157"/>
      <c r="C121" s="150"/>
      <c r="D121" s="122"/>
    </row>
    <row r="122">
      <c r="A122" s="147"/>
      <c r="B122" s="156"/>
      <c r="C122" s="150"/>
      <c r="D122" s="122"/>
    </row>
    <row r="123">
      <c r="A123" s="147"/>
      <c r="B123" s="156"/>
      <c r="C123" s="150"/>
      <c r="D123" s="122"/>
    </row>
    <row r="124">
      <c r="A124" s="38"/>
      <c r="B124" s="38"/>
    </row>
    <row r="125">
      <c r="A125" s="38"/>
      <c r="B125" s="38"/>
    </row>
    <row r="126">
      <c r="A126" s="38"/>
      <c r="B126" s="38"/>
    </row>
    <row r="127">
      <c r="A127" s="38"/>
      <c r="B127" s="38"/>
      <c r="D127" s="38"/>
    </row>
    <row r="128">
      <c r="A128" s="147"/>
      <c r="B128" s="156"/>
      <c r="C128" s="150"/>
      <c r="D128" s="122"/>
    </row>
    <row r="129">
      <c r="A129" s="143"/>
      <c r="B129" s="156"/>
      <c r="C129" s="150"/>
      <c r="D129" s="122"/>
    </row>
    <row r="130">
      <c r="A130" s="143"/>
      <c r="B130" s="156"/>
      <c r="C130" s="150"/>
      <c r="D130" s="122"/>
    </row>
    <row r="131">
      <c r="A131" s="143"/>
      <c r="B131" s="156"/>
      <c r="C131" s="150"/>
      <c r="D131" s="122"/>
    </row>
    <row r="132">
      <c r="B132" s="157"/>
      <c r="C132" s="150"/>
      <c r="D132" s="122"/>
    </row>
    <row r="133">
      <c r="A133" s="147"/>
      <c r="B133" s="156"/>
      <c r="C133" s="150"/>
      <c r="D133" s="122"/>
    </row>
    <row r="134">
      <c r="A134" s="147"/>
      <c r="B134" s="156"/>
      <c r="C134" s="150"/>
      <c r="D134" s="122"/>
    </row>
    <row r="135">
      <c r="A135" s="38"/>
      <c r="B135" s="38"/>
    </row>
    <row r="136">
      <c r="A136" s="38"/>
      <c r="B136" s="38"/>
    </row>
    <row r="137">
      <c r="A137" s="38"/>
      <c r="B137" s="38"/>
    </row>
    <row r="138">
      <c r="A138" s="38"/>
      <c r="B138" s="38"/>
      <c r="D138" s="38"/>
    </row>
    <row r="139">
      <c r="A139" s="147"/>
      <c r="B139" s="156"/>
      <c r="C139" s="150"/>
      <c r="D139" s="122"/>
    </row>
    <row r="140">
      <c r="A140" s="143"/>
      <c r="B140" s="156"/>
      <c r="C140" s="150"/>
      <c r="D140" s="122"/>
    </row>
    <row r="141">
      <c r="A141" s="143"/>
      <c r="B141" s="156"/>
      <c r="C141" s="150"/>
      <c r="D141" s="122"/>
    </row>
    <row r="142">
      <c r="A142" s="143"/>
      <c r="B142" s="156"/>
      <c r="C142" s="150"/>
      <c r="D142" s="122"/>
    </row>
    <row r="143">
      <c r="B143" s="157"/>
      <c r="C143" s="150"/>
      <c r="D143" s="122"/>
    </row>
    <row r="144">
      <c r="A144" s="147"/>
      <c r="B144" s="156"/>
      <c r="C144" s="150"/>
      <c r="D144" s="122"/>
    </row>
    <row r="145">
      <c r="A145" s="147"/>
      <c r="B145" s="156"/>
      <c r="C145" s="150"/>
      <c r="D145" s="122"/>
    </row>
    <row r="146">
      <c r="A146" s="38"/>
      <c r="B146" s="38"/>
    </row>
    <row r="147">
      <c r="A147" s="38"/>
      <c r="B147" s="38"/>
    </row>
    <row r="148">
      <c r="A148" s="38"/>
      <c r="B148" s="38"/>
    </row>
    <row r="149">
      <c r="A149" s="38"/>
      <c r="B149" s="38"/>
      <c r="D149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8.0"/>
    <col customWidth="1" min="3" max="3" width="18.63"/>
    <col customWidth="1" min="4" max="4" width="27.63"/>
    <col customWidth="1" min="7" max="7" width="19.63"/>
  </cols>
  <sheetData>
    <row r="1">
      <c r="A1" s="158" t="s">
        <v>822</v>
      </c>
      <c r="B1" s="38"/>
      <c r="C1" s="38"/>
    </row>
    <row r="2">
      <c r="A2" s="159" t="s">
        <v>823</v>
      </c>
      <c r="B2" s="38"/>
      <c r="C2" s="38"/>
    </row>
    <row r="3">
      <c r="A3" s="160" t="s">
        <v>622</v>
      </c>
      <c r="B3" s="161" t="s">
        <v>824</v>
      </c>
      <c r="C3" s="105" t="s">
        <v>6</v>
      </c>
    </row>
    <row r="4">
      <c r="A4" s="162" t="s">
        <v>825</v>
      </c>
      <c r="B4" s="163">
        <v>30000.0</v>
      </c>
      <c r="C4" s="105">
        <f t="shared" ref="C4:C41" si="1">(B4*1.1)</f>
        <v>33000</v>
      </c>
    </row>
    <row r="5">
      <c r="A5" s="162" t="s">
        <v>826</v>
      </c>
      <c r="B5" s="163">
        <v>30000.0</v>
      </c>
      <c r="C5" s="105">
        <f t="shared" si="1"/>
        <v>33000</v>
      </c>
    </row>
    <row r="6">
      <c r="A6" s="162" t="s">
        <v>827</v>
      </c>
      <c r="B6" s="163">
        <v>35000.0</v>
      </c>
      <c r="C6" s="105">
        <f t="shared" si="1"/>
        <v>38500</v>
      </c>
    </row>
    <row r="7">
      <c r="A7" s="162" t="s">
        <v>828</v>
      </c>
      <c r="B7" s="163">
        <v>35000.0</v>
      </c>
      <c r="C7" s="105">
        <f t="shared" si="1"/>
        <v>38500</v>
      </c>
    </row>
    <row r="8">
      <c r="A8" s="164" t="s">
        <v>829</v>
      </c>
      <c r="B8" s="163">
        <v>35000.0</v>
      </c>
      <c r="C8" s="105">
        <f t="shared" si="1"/>
        <v>38500</v>
      </c>
    </row>
    <row r="9">
      <c r="A9" s="164" t="s">
        <v>830</v>
      </c>
      <c r="B9" s="163">
        <v>35000.0</v>
      </c>
      <c r="C9" s="105">
        <f t="shared" si="1"/>
        <v>38500</v>
      </c>
    </row>
    <row r="10">
      <c r="A10" s="164" t="s">
        <v>831</v>
      </c>
      <c r="B10" s="163">
        <v>35000.0</v>
      </c>
      <c r="C10" s="105">
        <f t="shared" si="1"/>
        <v>38500</v>
      </c>
    </row>
    <row r="11">
      <c r="A11" s="165" t="s">
        <v>832</v>
      </c>
      <c r="B11" s="163">
        <v>35000.0</v>
      </c>
      <c r="C11" s="105">
        <f t="shared" si="1"/>
        <v>38500</v>
      </c>
    </row>
    <row r="12">
      <c r="A12" s="162" t="s">
        <v>833</v>
      </c>
      <c r="B12" s="163">
        <v>29000.0</v>
      </c>
      <c r="C12" s="105">
        <f t="shared" si="1"/>
        <v>31900</v>
      </c>
    </row>
    <row r="13">
      <c r="A13" s="162" t="s">
        <v>834</v>
      </c>
      <c r="B13" s="163">
        <v>30000.0</v>
      </c>
      <c r="C13" s="105">
        <f t="shared" si="1"/>
        <v>33000</v>
      </c>
    </row>
    <row r="14">
      <c r="A14" s="162" t="s">
        <v>835</v>
      </c>
      <c r="B14" s="163">
        <v>28500.0</v>
      </c>
      <c r="C14" s="105">
        <f t="shared" si="1"/>
        <v>31350</v>
      </c>
    </row>
    <row r="15">
      <c r="A15" s="162" t="s">
        <v>836</v>
      </c>
      <c r="B15" s="163">
        <v>34500.0</v>
      </c>
      <c r="C15" s="105">
        <f t="shared" si="1"/>
        <v>37950</v>
      </c>
    </row>
    <row r="16">
      <c r="A16" s="162" t="s">
        <v>837</v>
      </c>
      <c r="B16" s="163">
        <v>34500.0</v>
      </c>
      <c r="C16" s="105">
        <f t="shared" si="1"/>
        <v>37950</v>
      </c>
    </row>
    <row r="17">
      <c r="A17" s="162" t="s">
        <v>838</v>
      </c>
      <c r="B17" s="163">
        <v>42500.0</v>
      </c>
      <c r="C17" s="105">
        <f t="shared" si="1"/>
        <v>46750</v>
      </c>
    </row>
    <row r="18">
      <c r="A18" s="162" t="s">
        <v>839</v>
      </c>
      <c r="B18" s="163">
        <v>45500.0</v>
      </c>
      <c r="C18" s="105">
        <f t="shared" si="1"/>
        <v>50050</v>
      </c>
    </row>
    <row r="19">
      <c r="A19" s="162" t="s">
        <v>840</v>
      </c>
      <c r="B19" s="163">
        <v>31000.0</v>
      </c>
      <c r="C19" s="105">
        <f t="shared" si="1"/>
        <v>34100</v>
      </c>
    </row>
    <row r="20">
      <c r="A20" s="151" t="s">
        <v>841</v>
      </c>
      <c r="B20" s="163">
        <v>31000.0</v>
      </c>
      <c r="C20" s="105">
        <f t="shared" si="1"/>
        <v>34100</v>
      </c>
    </row>
    <row r="21">
      <c r="A21" s="162" t="s">
        <v>842</v>
      </c>
      <c r="B21" s="163">
        <v>35000.0</v>
      </c>
      <c r="C21" s="105">
        <f t="shared" si="1"/>
        <v>38500</v>
      </c>
    </row>
    <row r="22">
      <c r="A22" s="143" t="s">
        <v>843</v>
      </c>
      <c r="B22" s="163">
        <v>38000.0</v>
      </c>
      <c r="C22" s="105">
        <f t="shared" si="1"/>
        <v>41800</v>
      </c>
    </row>
    <row r="23">
      <c r="A23" s="164" t="s">
        <v>844</v>
      </c>
      <c r="B23" s="163">
        <v>40000.0</v>
      </c>
      <c r="C23" s="105">
        <f t="shared" si="1"/>
        <v>44000</v>
      </c>
    </row>
    <row r="24">
      <c r="A24" s="143" t="s">
        <v>845</v>
      </c>
      <c r="B24" s="163">
        <v>31000.0</v>
      </c>
      <c r="C24" s="105">
        <f t="shared" si="1"/>
        <v>34100</v>
      </c>
    </row>
    <row r="25">
      <c r="A25" s="164" t="s">
        <v>846</v>
      </c>
      <c r="B25" s="163">
        <v>35000.0</v>
      </c>
      <c r="C25" s="105">
        <f t="shared" si="1"/>
        <v>38500</v>
      </c>
    </row>
    <row r="26">
      <c r="A26" s="164" t="s">
        <v>847</v>
      </c>
      <c r="B26" s="163">
        <v>38000.0</v>
      </c>
      <c r="C26" s="105">
        <f t="shared" si="1"/>
        <v>41800</v>
      </c>
    </row>
    <row r="27">
      <c r="A27" s="164" t="s">
        <v>848</v>
      </c>
      <c r="B27" s="163">
        <v>38000.0</v>
      </c>
      <c r="C27" s="105">
        <f t="shared" si="1"/>
        <v>41800</v>
      </c>
    </row>
    <row r="28">
      <c r="A28" s="151" t="s">
        <v>849</v>
      </c>
      <c r="B28" s="163">
        <v>31000.0</v>
      </c>
      <c r="C28" s="105">
        <f t="shared" si="1"/>
        <v>34100</v>
      </c>
    </row>
    <row r="29">
      <c r="A29" s="164" t="s">
        <v>850</v>
      </c>
      <c r="B29" s="163">
        <v>40000.0</v>
      </c>
      <c r="C29" s="105">
        <f t="shared" si="1"/>
        <v>44000</v>
      </c>
    </row>
    <row r="30">
      <c r="A30" s="164" t="s">
        <v>851</v>
      </c>
      <c r="B30" s="163">
        <v>45000.0</v>
      </c>
      <c r="C30" s="105">
        <f t="shared" si="1"/>
        <v>49500</v>
      </c>
    </row>
    <row r="31">
      <c r="A31" s="164" t="s">
        <v>852</v>
      </c>
      <c r="B31" s="163">
        <v>45000.0</v>
      </c>
      <c r="C31" s="105">
        <f t="shared" si="1"/>
        <v>49500</v>
      </c>
    </row>
    <row r="32">
      <c r="A32" s="164" t="s">
        <v>853</v>
      </c>
      <c r="B32" s="163">
        <v>38000.0</v>
      </c>
      <c r="C32" s="105">
        <f t="shared" si="1"/>
        <v>41800</v>
      </c>
    </row>
    <row r="33">
      <c r="A33" s="164" t="s">
        <v>854</v>
      </c>
      <c r="B33" s="163">
        <v>38000.0</v>
      </c>
      <c r="C33" s="105">
        <f t="shared" si="1"/>
        <v>41800</v>
      </c>
    </row>
    <row r="34">
      <c r="A34" s="164" t="s">
        <v>855</v>
      </c>
      <c r="B34" s="163">
        <v>45000.0</v>
      </c>
      <c r="C34" s="105">
        <f t="shared" si="1"/>
        <v>49500</v>
      </c>
    </row>
    <row r="35">
      <c r="A35" s="162" t="s">
        <v>856</v>
      </c>
      <c r="B35" s="166">
        <v>35000.0</v>
      </c>
      <c r="C35" s="167">
        <f t="shared" si="1"/>
        <v>38500</v>
      </c>
    </row>
    <row r="36">
      <c r="A36" s="147"/>
      <c r="B36" s="163"/>
      <c r="C36" s="105">
        <f t="shared" si="1"/>
        <v>0</v>
      </c>
    </row>
    <row r="37">
      <c r="A37" s="147" t="s">
        <v>857</v>
      </c>
      <c r="B37" s="163"/>
      <c r="C37" s="105">
        <f t="shared" si="1"/>
        <v>0</v>
      </c>
    </row>
    <row r="38">
      <c r="A38" s="103" t="s">
        <v>858</v>
      </c>
      <c r="B38" s="163">
        <v>16500.0</v>
      </c>
      <c r="C38" s="105">
        <f t="shared" si="1"/>
        <v>18150</v>
      </c>
    </row>
    <row r="39">
      <c r="A39" s="147" t="s">
        <v>859</v>
      </c>
      <c r="B39" s="163">
        <v>18500.0</v>
      </c>
      <c r="C39" s="105">
        <f t="shared" si="1"/>
        <v>20350</v>
      </c>
    </row>
    <row r="40">
      <c r="A40" s="147" t="s">
        <v>860</v>
      </c>
      <c r="B40" s="163">
        <v>18500.0</v>
      </c>
      <c r="C40" s="105">
        <f t="shared" si="1"/>
        <v>20350</v>
      </c>
    </row>
    <row r="41">
      <c r="A41" s="103" t="s">
        <v>861</v>
      </c>
      <c r="B41" s="163">
        <v>18500.0</v>
      </c>
      <c r="C41" s="105">
        <f t="shared" si="1"/>
        <v>20350</v>
      </c>
    </row>
    <row r="42">
      <c r="A42" s="147" t="s">
        <v>862</v>
      </c>
      <c r="B42" s="163">
        <v>18500.0</v>
      </c>
      <c r="C42" s="105"/>
    </row>
    <row r="43">
      <c r="A43" s="103" t="s">
        <v>863</v>
      </c>
      <c r="B43" s="163">
        <v>18500.0</v>
      </c>
      <c r="C43" s="105">
        <f t="shared" ref="C43:C53" si="2">(B43*1.1)</f>
        <v>20350</v>
      </c>
    </row>
    <row r="44">
      <c r="A44" s="103" t="s">
        <v>864</v>
      </c>
      <c r="B44" s="163">
        <v>26000.0</v>
      </c>
      <c r="C44" s="105">
        <f t="shared" si="2"/>
        <v>28600</v>
      </c>
    </row>
    <row r="45">
      <c r="A45" s="147" t="s">
        <v>865</v>
      </c>
      <c r="B45" s="163">
        <v>18000.0</v>
      </c>
      <c r="C45" s="105">
        <f t="shared" si="2"/>
        <v>19800</v>
      </c>
    </row>
    <row r="46">
      <c r="A46" s="147" t="s">
        <v>866</v>
      </c>
      <c r="B46" s="163">
        <v>26000.0</v>
      </c>
      <c r="C46" s="105">
        <f t="shared" si="2"/>
        <v>28600</v>
      </c>
    </row>
    <row r="47">
      <c r="A47" s="103" t="s">
        <v>867</v>
      </c>
      <c r="B47" s="163">
        <v>26000.0</v>
      </c>
      <c r="C47" s="105">
        <f t="shared" si="2"/>
        <v>28600</v>
      </c>
    </row>
    <row r="48">
      <c r="A48" s="147" t="s">
        <v>868</v>
      </c>
      <c r="B48" s="163">
        <v>18500.0</v>
      </c>
      <c r="C48" s="105">
        <f t="shared" si="2"/>
        <v>20350</v>
      </c>
    </row>
    <row r="49">
      <c r="A49" s="147" t="s">
        <v>869</v>
      </c>
      <c r="B49" s="163">
        <v>18500.0</v>
      </c>
      <c r="C49" s="105">
        <f t="shared" si="2"/>
        <v>20350</v>
      </c>
    </row>
    <row r="50">
      <c r="A50" s="147" t="s">
        <v>870</v>
      </c>
      <c r="B50" s="163">
        <v>26000.0</v>
      </c>
      <c r="C50" s="105">
        <f t="shared" si="2"/>
        <v>28600</v>
      </c>
    </row>
    <row r="51">
      <c r="A51" s="103" t="s">
        <v>871</v>
      </c>
      <c r="B51" s="163">
        <v>26000.0</v>
      </c>
      <c r="C51" s="105">
        <f t="shared" si="2"/>
        <v>28600</v>
      </c>
    </row>
    <row r="52">
      <c r="A52" s="147" t="s">
        <v>872</v>
      </c>
      <c r="B52" s="163">
        <v>26000.0</v>
      </c>
      <c r="C52" s="105">
        <f t="shared" si="2"/>
        <v>28600</v>
      </c>
    </row>
    <row r="53">
      <c r="A53" s="103" t="s">
        <v>873</v>
      </c>
      <c r="B53" s="163">
        <v>26000.0</v>
      </c>
      <c r="C53" s="105">
        <f t="shared" si="2"/>
        <v>28600</v>
      </c>
    </row>
    <row r="54">
      <c r="A54" s="147"/>
      <c r="B54" s="163"/>
      <c r="C54" s="105"/>
    </row>
    <row r="55">
      <c r="A55" s="147" t="s">
        <v>874</v>
      </c>
      <c r="B55" s="163">
        <v>30000.0</v>
      </c>
      <c r="C55" s="105">
        <f t="shared" ref="C55:C56" si="3">(B55*1.1)</f>
        <v>33000</v>
      </c>
    </row>
    <row r="56">
      <c r="A56" s="147" t="s">
        <v>875</v>
      </c>
      <c r="B56" s="163">
        <v>32000.0</v>
      </c>
      <c r="C56" s="105">
        <f t="shared" si="3"/>
        <v>35200</v>
      </c>
    </row>
    <row r="57">
      <c r="A57" s="147" t="s">
        <v>876</v>
      </c>
      <c r="B57" s="168"/>
      <c r="C57" s="105"/>
    </row>
    <row r="58">
      <c r="A58" s="147" t="s">
        <v>877</v>
      </c>
      <c r="B58" s="163">
        <v>39000.0</v>
      </c>
      <c r="C58" s="105">
        <f t="shared" ref="C58:C111" si="4">(B58*1.1)</f>
        <v>42900</v>
      </c>
    </row>
    <row r="59">
      <c r="A59" s="169" t="s">
        <v>878</v>
      </c>
      <c r="B59" s="170">
        <v>46000.0</v>
      </c>
      <c r="C59" s="171">
        <f t="shared" si="4"/>
        <v>50600</v>
      </c>
    </row>
    <row r="60">
      <c r="A60" s="147" t="s">
        <v>879</v>
      </c>
      <c r="B60" s="163">
        <v>45000.0</v>
      </c>
      <c r="C60" s="105">
        <f t="shared" si="4"/>
        <v>49500</v>
      </c>
    </row>
    <row r="61">
      <c r="A61" s="169" t="s">
        <v>880</v>
      </c>
      <c r="B61" s="170">
        <v>54000.0</v>
      </c>
      <c r="C61" s="171">
        <f t="shared" si="4"/>
        <v>59400</v>
      </c>
    </row>
    <row r="62">
      <c r="A62" s="147" t="s">
        <v>881</v>
      </c>
      <c r="B62" s="163">
        <v>48000.0</v>
      </c>
      <c r="C62" s="105">
        <f t="shared" si="4"/>
        <v>52800</v>
      </c>
    </row>
    <row r="63">
      <c r="A63" s="169" t="s">
        <v>882</v>
      </c>
      <c r="B63" s="170">
        <v>57000.0</v>
      </c>
      <c r="C63" s="171">
        <f t="shared" si="4"/>
        <v>62700</v>
      </c>
    </row>
    <row r="64">
      <c r="A64" s="147" t="s">
        <v>883</v>
      </c>
      <c r="B64" s="163">
        <v>55000.0</v>
      </c>
      <c r="C64" s="105">
        <f t="shared" si="4"/>
        <v>60500</v>
      </c>
    </row>
    <row r="65">
      <c r="A65" s="169" t="s">
        <v>884</v>
      </c>
      <c r="B65" s="170">
        <v>65000.0</v>
      </c>
      <c r="C65" s="171">
        <f t="shared" si="4"/>
        <v>71500</v>
      </c>
    </row>
    <row r="66">
      <c r="A66" s="147" t="s">
        <v>885</v>
      </c>
      <c r="B66" s="163">
        <v>52000.0</v>
      </c>
      <c r="C66" s="105">
        <f t="shared" si="4"/>
        <v>57200</v>
      </c>
    </row>
    <row r="67">
      <c r="A67" s="169" t="s">
        <v>886</v>
      </c>
      <c r="B67" s="170">
        <v>62000.0</v>
      </c>
      <c r="C67" s="171">
        <f t="shared" si="4"/>
        <v>68200</v>
      </c>
    </row>
    <row r="68">
      <c r="A68" s="147" t="s">
        <v>887</v>
      </c>
      <c r="B68" s="163">
        <v>56000.0</v>
      </c>
      <c r="C68" s="105">
        <f t="shared" si="4"/>
        <v>61600</v>
      </c>
    </row>
    <row r="69">
      <c r="A69" s="169" t="s">
        <v>888</v>
      </c>
      <c r="B69" s="170">
        <v>65000.0</v>
      </c>
      <c r="C69" s="171">
        <f t="shared" si="4"/>
        <v>71500</v>
      </c>
    </row>
    <row r="70">
      <c r="A70" s="147" t="s">
        <v>889</v>
      </c>
      <c r="B70" s="163">
        <v>50000.0</v>
      </c>
      <c r="C70" s="105">
        <f t="shared" si="4"/>
        <v>55000</v>
      </c>
    </row>
    <row r="71">
      <c r="A71" s="169" t="s">
        <v>890</v>
      </c>
      <c r="B71" s="170">
        <v>57000.0</v>
      </c>
      <c r="C71" s="171">
        <f t="shared" si="4"/>
        <v>62700</v>
      </c>
    </row>
    <row r="72">
      <c r="A72" s="147" t="s">
        <v>891</v>
      </c>
      <c r="B72" s="163">
        <v>55000.0</v>
      </c>
      <c r="C72" s="105">
        <f t="shared" si="4"/>
        <v>60500</v>
      </c>
    </row>
    <row r="73">
      <c r="A73" s="169" t="s">
        <v>892</v>
      </c>
      <c r="B73" s="170">
        <v>60000.0</v>
      </c>
      <c r="C73" s="171">
        <f t="shared" si="4"/>
        <v>66000</v>
      </c>
    </row>
    <row r="74">
      <c r="A74" s="143" t="s">
        <v>893</v>
      </c>
      <c r="B74" s="163">
        <v>61000.0</v>
      </c>
      <c r="C74" s="105">
        <f t="shared" si="4"/>
        <v>67100</v>
      </c>
    </row>
    <row r="75">
      <c r="A75" s="169" t="s">
        <v>894</v>
      </c>
      <c r="B75" s="170">
        <v>65000.0</v>
      </c>
      <c r="C75" s="171">
        <f t="shared" si="4"/>
        <v>71500</v>
      </c>
    </row>
    <row r="76">
      <c r="A76" s="143" t="s">
        <v>895</v>
      </c>
      <c r="B76" s="163">
        <v>58000.0</v>
      </c>
      <c r="C76" s="105">
        <f t="shared" si="4"/>
        <v>63800</v>
      </c>
    </row>
    <row r="77">
      <c r="A77" s="169" t="s">
        <v>896</v>
      </c>
      <c r="B77" s="170">
        <v>66000.0</v>
      </c>
      <c r="C77" s="171">
        <f t="shared" si="4"/>
        <v>72600</v>
      </c>
    </row>
    <row r="78">
      <c r="A78" s="143" t="s">
        <v>897</v>
      </c>
      <c r="B78" s="163">
        <v>65000.0</v>
      </c>
      <c r="C78" s="105">
        <f t="shared" si="4"/>
        <v>71500</v>
      </c>
    </row>
    <row r="79">
      <c r="A79" s="169" t="s">
        <v>898</v>
      </c>
      <c r="B79" s="170">
        <v>70000.0</v>
      </c>
      <c r="C79" s="171">
        <f t="shared" si="4"/>
        <v>77000</v>
      </c>
    </row>
    <row r="80">
      <c r="A80" s="143" t="s">
        <v>899</v>
      </c>
      <c r="B80" s="163">
        <v>72000.0</v>
      </c>
      <c r="C80" s="105">
        <f t="shared" si="4"/>
        <v>79200</v>
      </c>
    </row>
    <row r="81">
      <c r="A81" s="169" t="s">
        <v>900</v>
      </c>
      <c r="B81" s="170">
        <v>80000.0</v>
      </c>
      <c r="C81" s="171">
        <f t="shared" si="4"/>
        <v>88000</v>
      </c>
    </row>
    <row r="82">
      <c r="A82" s="143" t="s">
        <v>901</v>
      </c>
      <c r="B82" s="172"/>
      <c r="C82" s="172">
        <f t="shared" si="4"/>
        <v>0</v>
      </c>
    </row>
    <row r="83">
      <c r="A83" s="169" t="s">
        <v>902</v>
      </c>
      <c r="B83" s="170">
        <v>65000.0</v>
      </c>
      <c r="C83" s="171">
        <f t="shared" si="4"/>
        <v>71500</v>
      </c>
    </row>
    <row r="84">
      <c r="A84" s="143" t="s">
        <v>903</v>
      </c>
      <c r="B84" s="83">
        <v>50000.0</v>
      </c>
      <c r="C84" s="172">
        <f t="shared" si="4"/>
        <v>55000</v>
      </c>
    </row>
    <row r="85">
      <c r="A85" s="169" t="s">
        <v>904</v>
      </c>
      <c r="B85" s="170">
        <v>65000.0</v>
      </c>
      <c r="C85" s="171">
        <f t="shared" si="4"/>
        <v>71500</v>
      </c>
    </row>
    <row r="86">
      <c r="A86" s="143" t="s">
        <v>905</v>
      </c>
      <c r="B86" s="83"/>
      <c r="C86" s="172">
        <f t="shared" si="4"/>
        <v>0</v>
      </c>
    </row>
    <row r="87">
      <c r="A87" s="169" t="s">
        <v>906</v>
      </c>
      <c r="B87" s="170">
        <v>72000.0</v>
      </c>
      <c r="C87" s="171">
        <f t="shared" si="4"/>
        <v>79200</v>
      </c>
    </row>
    <row r="88">
      <c r="A88" s="143" t="s">
        <v>907</v>
      </c>
      <c r="B88" s="172"/>
      <c r="C88" s="172">
        <f t="shared" si="4"/>
        <v>0</v>
      </c>
    </row>
    <row r="89">
      <c r="A89" s="169" t="s">
        <v>908</v>
      </c>
      <c r="B89" s="170">
        <v>72000.0</v>
      </c>
      <c r="C89" s="171">
        <f t="shared" si="4"/>
        <v>79200</v>
      </c>
    </row>
    <row r="90">
      <c r="A90" s="143" t="s">
        <v>909</v>
      </c>
      <c r="B90" s="172"/>
      <c r="C90" s="172">
        <f t="shared" si="4"/>
        <v>0</v>
      </c>
    </row>
    <row r="91">
      <c r="A91" s="169" t="s">
        <v>910</v>
      </c>
      <c r="B91" s="170">
        <v>68000.0</v>
      </c>
      <c r="C91" s="171">
        <f t="shared" si="4"/>
        <v>74800</v>
      </c>
    </row>
    <row r="92">
      <c r="A92" s="143" t="s">
        <v>911</v>
      </c>
      <c r="B92" s="172"/>
      <c r="C92" s="172">
        <f t="shared" si="4"/>
        <v>0</v>
      </c>
    </row>
    <row r="93">
      <c r="A93" s="169" t="s">
        <v>912</v>
      </c>
      <c r="B93" s="172"/>
      <c r="C93" s="172">
        <f t="shared" si="4"/>
        <v>0</v>
      </c>
    </row>
    <row r="94">
      <c r="A94" s="143" t="s">
        <v>913</v>
      </c>
      <c r="B94" s="172"/>
      <c r="C94" s="172">
        <f t="shared" si="4"/>
        <v>0</v>
      </c>
    </row>
    <row r="95">
      <c r="A95" s="169" t="s">
        <v>914</v>
      </c>
      <c r="B95" s="172"/>
      <c r="C95" s="172">
        <f t="shared" si="4"/>
        <v>0</v>
      </c>
    </row>
    <row r="96">
      <c r="A96" s="143" t="s">
        <v>915</v>
      </c>
      <c r="B96" s="172"/>
      <c r="C96" s="172">
        <f t="shared" si="4"/>
        <v>0</v>
      </c>
    </row>
    <row r="97">
      <c r="A97" s="169" t="s">
        <v>916</v>
      </c>
      <c r="B97" s="170">
        <v>75000.0</v>
      </c>
      <c r="C97" s="171">
        <f t="shared" si="4"/>
        <v>82500</v>
      </c>
    </row>
    <row r="98">
      <c r="A98" s="143" t="s">
        <v>917</v>
      </c>
      <c r="B98" s="172"/>
      <c r="C98" s="172">
        <f t="shared" si="4"/>
        <v>0</v>
      </c>
    </row>
    <row r="99">
      <c r="A99" s="169" t="s">
        <v>918</v>
      </c>
      <c r="B99" s="170">
        <v>70000.0</v>
      </c>
      <c r="C99" s="171">
        <f t="shared" si="4"/>
        <v>77000</v>
      </c>
    </row>
    <row r="100">
      <c r="A100" s="143" t="s">
        <v>919</v>
      </c>
      <c r="B100" s="172"/>
      <c r="C100" s="172">
        <f t="shared" si="4"/>
        <v>0</v>
      </c>
    </row>
    <row r="101">
      <c r="A101" s="169" t="s">
        <v>920</v>
      </c>
      <c r="B101" s="170">
        <v>75000.0</v>
      </c>
      <c r="C101" s="171">
        <f t="shared" si="4"/>
        <v>82500</v>
      </c>
    </row>
    <row r="102">
      <c r="A102" s="143" t="s">
        <v>921</v>
      </c>
      <c r="B102" s="172"/>
      <c r="C102" s="172">
        <f t="shared" si="4"/>
        <v>0</v>
      </c>
    </row>
    <row r="103">
      <c r="A103" s="169" t="s">
        <v>922</v>
      </c>
      <c r="B103" s="170">
        <v>82000.0</v>
      </c>
      <c r="C103" s="171">
        <f t="shared" si="4"/>
        <v>90200</v>
      </c>
    </row>
    <row r="104">
      <c r="A104" s="143" t="s">
        <v>923</v>
      </c>
      <c r="B104" s="172"/>
      <c r="C104" s="172">
        <f t="shared" si="4"/>
        <v>0</v>
      </c>
    </row>
    <row r="105">
      <c r="A105" s="169" t="s">
        <v>924</v>
      </c>
      <c r="B105" s="170">
        <v>75000.0</v>
      </c>
      <c r="C105" s="171">
        <f t="shared" si="4"/>
        <v>82500</v>
      </c>
    </row>
    <row r="106">
      <c r="A106" s="147"/>
      <c r="B106" s="172"/>
      <c r="C106" s="172">
        <f t="shared" si="4"/>
        <v>0</v>
      </c>
    </row>
    <row r="107">
      <c r="A107" s="147" t="s">
        <v>925</v>
      </c>
      <c r="B107" s="172"/>
      <c r="C107" s="172">
        <f t="shared" si="4"/>
        <v>0</v>
      </c>
    </row>
    <row r="108">
      <c r="A108" s="169" t="s">
        <v>926</v>
      </c>
      <c r="B108" s="173">
        <v>70000.0</v>
      </c>
      <c r="C108" s="105">
        <f t="shared" si="4"/>
        <v>77000</v>
      </c>
    </row>
    <row r="109">
      <c r="A109" s="169" t="s">
        <v>927</v>
      </c>
      <c r="B109" s="173">
        <v>70000.0</v>
      </c>
      <c r="C109" s="105">
        <f t="shared" si="4"/>
        <v>77000</v>
      </c>
    </row>
    <row r="110">
      <c r="A110" s="169" t="s">
        <v>928</v>
      </c>
      <c r="B110" s="173">
        <v>78000.0</v>
      </c>
      <c r="C110" s="105">
        <f t="shared" si="4"/>
        <v>85800</v>
      </c>
    </row>
    <row r="111">
      <c r="A111" s="169" t="s">
        <v>929</v>
      </c>
      <c r="B111" s="173">
        <v>82000.0</v>
      </c>
      <c r="C111" s="105">
        <f t="shared" si="4"/>
        <v>90200</v>
      </c>
    </row>
    <row r="112">
      <c r="B112" s="10"/>
      <c r="C112" s="172"/>
    </row>
    <row r="114">
      <c r="A114" s="174" t="s">
        <v>930</v>
      </c>
      <c r="B114" s="175" t="s">
        <v>824</v>
      </c>
      <c r="C114" s="176" t="s">
        <v>6</v>
      </c>
    </row>
    <row r="115">
      <c r="A115" s="143" t="s">
        <v>931</v>
      </c>
      <c r="B115" s="163">
        <v>27000.0</v>
      </c>
      <c r="C115" s="105">
        <f t="shared" ref="C115:C167" si="5">(B115*1.1)</f>
        <v>29700</v>
      </c>
    </row>
    <row r="116">
      <c r="A116" s="143" t="s">
        <v>932</v>
      </c>
      <c r="B116" s="163">
        <v>27000.0</v>
      </c>
      <c r="C116" s="105">
        <f t="shared" si="5"/>
        <v>29700</v>
      </c>
    </row>
    <row r="117">
      <c r="A117" s="143" t="s">
        <v>933</v>
      </c>
      <c r="B117" s="163">
        <v>27000.0</v>
      </c>
      <c r="C117" s="105">
        <f t="shared" si="5"/>
        <v>29700</v>
      </c>
    </row>
    <row r="118">
      <c r="A118" s="143" t="s">
        <v>934</v>
      </c>
      <c r="B118" s="163">
        <v>27000.0</v>
      </c>
      <c r="C118" s="105">
        <f t="shared" si="5"/>
        <v>29700</v>
      </c>
    </row>
    <row r="119">
      <c r="A119" s="143" t="s">
        <v>935</v>
      </c>
      <c r="B119" s="163">
        <v>25500.0</v>
      </c>
      <c r="C119" s="105">
        <f t="shared" si="5"/>
        <v>28050</v>
      </c>
      <c r="G119" s="38"/>
      <c r="H119" s="38"/>
    </row>
    <row r="120">
      <c r="A120" s="143" t="s">
        <v>936</v>
      </c>
      <c r="B120" s="163">
        <v>33000.0</v>
      </c>
      <c r="C120" s="105">
        <f t="shared" si="5"/>
        <v>36300</v>
      </c>
      <c r="G120" s="38"/>
      <c r="H120" s="38"/>
    </row>
    <row r="121">
      <c r="A121" s="143" t="s">
        <v>937</v>
      </c>
      <c r="B121" s="163">
        <v>32000.0</v>
      </c>
      <c r="C121" s="105">
        <f t="shared" si="5"/>
        <v>35200</v>
      </c>
      <c r="G121" s="38"/>
      <c r="H121" s="38"/>
    </row>
    <row r="122">
      <c r="A122" s="143" t="s">
        <v>938</v>
      </c>
      <c r="B122" s="163">
        <v>37900.0</v>
      </c>
      <c r="C122" s="105">
        <f t="shared" si="5"/>
        <v>41690</v>
      </c>
      <c r="G122" s="38"/>
      <c r="H122" s="38"/>
    </row>
    <row r="123">
      <c r="A123" s="143" t="s">
        <v>939</v>
      </c>
      <c r="B123" s="163">
        <v>33000.0</v>
      </c>
      <c r="C123" s="105">
        <f t="shared" si="5"/>
        <v>36300</v>
      </c>
      <c r="G123" s="38"/>
      <c r="H123" s="38"/>
    </row>
    <row r="124">
      <c r="A124" s="143" t="s">
        <v>940</v>
      </c>
      <c r="B124" s="163">
        <v>38000.0</v>
      </c>
      <c r="C124" s="105">
        <f t="shared" si="5"/>
        <v>41800</v>
      </c>
      <c r="G124" s="38"/>
      <c r="H124" s="38"/>
    </row>
    <row r="125">
      <c r="A125" s="143" t="s">
        <v>941</v>
      </c>
      <c r="B125" s="163">
        <v>40000.0</v>
      </c>
      <c r="C125" s="105">
        <f t="shared" si="5"/>
        <v>44000</v>
      </c>
      <c r="G125" s="38"/>
      <c r="H125" s="38"/>
    </row>
    <row r="126">
      <c r="A126" s="143" t="s">
        <v>942</v>
      </c>
      <c r="B126" s="163">
        <v>48000.0</v>
      </c>
      <c r="C126" s="105">
        <f t="shared" si="5"/>
        <v>52800</v>
      </c>
      <c r="G126" s="38"/>
      <c r="H126" s="38"/>
    </row>
    <row r="127">
      <c r="A127" s="143" t="s">
        <v>943</v>
      </c>
      <c r="B127" s="163">
        <v>53000.0</v>
      </c>
      <c r="C127" s="105">
        <f t="shared" si="5"/>
        <v>58300</v>
      </c>
      <c r="G127" s="38"/>
      <c r="H127" s="38"/>
    </row>
    <row r="128">
      <c r="A128" s="143" t="s">
        <v>944</v>
      </c>
      <c r="B128" s="163">
        <v>57000.0</v>
      </c>
      <c r="C128" s="105">
        <f t="shared" si="5"/>
        <v>62700</v>
      </c>
      <c r="G128" s="38"/>
      <c r="H128" s="38"/>
    </row>
    <row r="129">
      <c r="A129" s="143" t="s">
        <v>945</v>
      </c>
      <c r="B129" s="163">
        <v>49000.0</v>
      </c>
      <c r="C129" s="105">
        <f t="shared" si="5"/>
        <v>53900</v>
      </c>
      <c r="G129" s="38"/>
      <c r="H129" s="38"/>
    </row>
    <row r="130">
      <c r="A130" s="143" t="s">
        <v>946</v>
      </c>
      <c r="B130" s="163">
        <v>55500.0</v>
      </c>
      <c r="C130" s="105">
        <f t="shared" si="5"/>
        <v>61050</v>
      </c>
    </row>
    <row r="131">
      <c r="A131" s="143" t="s">
        <v>947</v>
      </c>
      <c r="B131" s="163">
        <v>57000.0</v>
      </c>
      <c r="C131" s="105">
        <f t="shared" si="5"/>
        <v>62700</v>
      </c>
    </row>
    <row r="132">
      <c r="A132" s="143" t="s">
        <v>948</v>
      </c>
      <c r="B132" s="163">
        <v>63000.0</v>
      </c>
      <c r="C132" s="105">
        <f t="shared" si="5"/>
        <v>69300</v>
      </c>
    </row>
    <row r="133">
      <c r="A133" s="143" t="s">
        <v>949</v>
      </c>
      <c r="B133" s="163">
        <v>66000.0</v>
      </c>
      <c r="C133" s="105">
        <f t="shared" si="5"/>
        <v>72600</v>
      </c>
      <c r="H133" s="38"/>
    </row>
    <row r="134">
      <c r="A134" s="143" t="s">
        <v>950</v>
      </c>
      <c r="B134" s="163">
        <v>77500.0</v>
      </c>
      <c r="C134" s="105">
        <f t="shared" si="5"/>
        <v>85250</v>
      </c>
      <c r="H134" s="38"/>
    </row>
    <row r="135">
      <c r="A135" s="151" t="s">
        <v>951</v>
      </c>
      <c r="B135" s="163">
        <v>75000.0</v>
      </c>
      <c r="C135" s="105">
        <f t="shared" si="5"/>
        <v>82500</v>
      </c>
      <c r="G135" s="38"/>
    </row>
    <row r="136">
      <c r="A136" s="143" t="s">
        <v>952</v>
      </c>
      <c r="B136" s="163">
        <v>82800.0</v>
      </c>
      <c r="C136" s="105">
        <f t="shared" si="5"/>
        <v>91080</v>
      </c>
      <c r="G136" s="38"/>
    </row>
    <row r="137">
      <c r="A137" s="143" t="s">
        <v>953</v>
      </c>
      <c r="B137" s="163">
        <v>75000.0</v>
      </c>
      <c r="C137" s="105">
        <f t="shared" si="5"/>
        <v>82500</v>
      </c>
      <c r="G137" s="38"/>
    </row>
    <row r="138">
      <c r="A138" s="143" t="s">
        <v>954</v>
      </c>
      <c r="B138" s="163">
        <v>82800.0</v>
      </c>
      <c r="C138" s="105">
        <f t="shared" si="5"/>
        <v>91080</v>
      </c>
      <c r="G138" s="38"/>
      <c r="H138" s="38"/>
    </row>
    <row r="139">
      <c r="A139" s="143" t="s">
        <v>955</v>
      </c>
      <c r="B139" s="163">
        <v>66500.0</v>
      </c>
      <c r="C139" s="105">
        <f t="shared" si="5"/>
        <v>73150</v>
      </c>
      <c r="G139" s="38"/>
    </row>
    <row r="140">
      <c r="A140" s="143" t="s">
        <v>956</v>
      </c>
      <c r="B140" s="163">
        <v>77500.0</v>
      </c>
      <c r="C140" s="105">
        <f t="shared" si="5"/>
        <v>85250</v>
      </c>
      <c r="G140" s="38"/>
    </row>
    <row r="141">
      <c r="A141" s="143" t="s">
        <v>957</v>
      </c>
      <c r="B141" s="163">
        <v>75900.0</v>
      </c>
      <c r="C141" s="105">
        <f t="shared" si="5"/>
        <v>83490</v>
      </c>
      <c r="G141" s="38"/>
    </row>
    <row r="142">
      <c r="A142" s="143" t="s">
        <v>958</v>
      </c>
      <c r="B142" s="163">
        <v>99000.0</v>
      </c>
      <c r="C142" s="105">
        <f t="shared" si="5"/>
        <v>108900</v>
      </c>
      <c r="G142" s="38"/>
    </row>
    <row r="143">
      <c r="A143" s="143" t="s">
        <v>959</v>
      </c>
      <c r="B143" s="163">
        <v>111600.0</v>
      </c>
      <c r="C143" s="105">
        <f t="shared" si="5"/>
        <v>122760</v>
      </c>
      <c r="G143" s="38"/>
      <c r="H143" s="38"/>
    </row>
    <row r="144">
      <c r="A144" s="143" t="s">
        <v>960</v>
      </c>
      <c r="B144" s="163">
        <v>95000.0</v>
      </c>
      <c r="C144" s="105">
        <f t="shared" si="5"/>
        <v>104500</v>
      </c>
      <c r="G144" s="38"/>
      <c r="H144" s="38"/>
    </row>
    <row r="145">
      <c r="A145" s="143" t="s">
        <v>961</v>
      </c>
      <c r="B145" s="163">
        <v>116400.0</v>
      </c>
      <c r="C145" s="105">
        <f t="shared" si="5"/>
        <v>128040</v>
      </c>
      <c r="G145" s="38"/>
      <c r="H145" s="38"/>
      <c r="I145" s="38"/>
      <c r="J145" s="38"/>
    </row>
    <row r="146">
      <c r="A146" s="143" t="s">
        <v>962</v>
      </c>
      <c r="B146" s="163">
        <v>162600.0</v>
      </c>
      <c r="C146" s="105">
        <f t="shared" si="5"/>
        <v>178860</v>
      </c>
      <c r="G146" s="38"/>
      <c r="H146" s="38"/>
      <c r="I146" s="38"/>
      <c r="J146" s="38"/>
    </row>
    <row r="147">
      <c r="A147" s="143" t="s">
        <v>963</v>
      </c>
      <c r="B147" s="163">
        <v>103000.0</v>
      </c>
      <c r="C147" s="105">
        <f t="shared" si="5"/>
        <v>113300</v>
      </c>
      <c r="G147" s="38"/>
      <c r="H147" s="38"/>
      <c r="I147" s="38"/>
      <c r="J147" s="38"/>
    </row>
    <row r="148">
      <c r="A148" s="143" t="s">
        <v>964</v>
      </c>
      <c r="B148" s="163">
        <v>138750.0</v>
      </c>
      <c r="C148" s="105">
        <f t="shared" si="5"/>
        <v>152625</v>
      </c>
      <c r="H148" s="38"/>
      <c r="I148" s="38"/>
      <c r="J148" s="38"/>
    </row>
    <row r="149">
      <c r="A149" s="143" t="s">
        <v>965</v>
      </c>
      <c r="B149" s="163">
        <v>186000.0</v>
      </c>
      <c r="C149" s="105">
        <f t="shared" si="5"/>
        <v>204600</v>
      </c>
      <c r="H149" s="38"/>
      <c r="I149" s="38"/>
      <c r="J149" s="38"/>
    </row>
    <row r="150">
      <c r="A150" s="143" t="s">
        <v>966</v>
      </c>
      <c r="B150" s="163">
        <v>78000.0</v>
      </c>
      <c r="C150" s="105">
        <f t="shared" si="5"/>
        <v>85800</v>
      </c>
      <c r="H150" s="38"/>
      <c r="I150" s="38"/>
      <c r="J150" s="38"/>
    </row>
    <row r="151">
      <c r="A151" s="143" t="s">
        <v>967</v>
      </c>
      <c r="B151" s="163">
        <v>86400.0</v>
      </c>
      <c r="C151" s="105">
        <f t="shared" si="5"/>
        <v>95040</v>
      </c>
      <c r="D151" s="38"/>
      <c r="E151" s="63"/>
      <c r="G151" s="38"/>
      <c r="H151" s="38"/>
      <c r="I151" s="38"/>
      <c r="J151" s="38"/>
    </row>
    <row r="152">
      <c r="A152" s="143" t="s">
        <v>968</v>
      </c>
      <c r="B152" s="163">
        <v>106800.0</v>
      </c>
      <c r="C152" s="105">
        <f t="shared" si="5"/>
        <v>117480</v>
      </c>
      <c r="D152" s="38"/>
      <c r="E152" s="63"/>
      <c r="G152" s="38"/>
      <c r="H152" s="38"/>
      <c r="I152" s="38"/>
      <c r="J152" s="38"/>
    </row>
    <row r="153">
      <c r="A153" s="143" t="s">
        <v>969</v>
      </c>
      <c r="B153" s="163">
        <v>78000.0</v>
      </c>
      <c r="C153" s="105">
        <f t="shared" si="5"/>
        <v>85800</v>
      </c>
      <c r="D153" s="38"/>
      <c r="E153" s="63"/>
      <c r="G153" s="38"/>
      <c r="H153" s="38"/>
      <c r="I153" s="38"/>
      <c r="J153" s="38"/>
    </row>
    <row r="154">
      <c r="A154" s="143" t="s">
        <v>970</v>
      </c>
      <c r="B154" s="163">
        <v>86400.0</v>
      </c>
      <c r="C154" s="105">
        <f t="shared" si="5"/>
        <v>95040</v>
      </c>
      <c r="D154" s="38"/>
      <c r="E154" s="63"/>
      <c r="G154" s="38"/>
      <c r="H154" s="38"/>
      <c r="I154" s="38"/>
      <c r="J154" s="38"/>
    </row>
    <row r="155">
      <c r="A155" s="143" t="s">
        <v>971</v>
      </c>
      <c r="B155" s="163">
        <v>106800.0</v>
      </c>
      <c r="C155" s="105">
        <f t="shared" si="5"/>
        <v>117480</v>
      </c>
      <c r="D155" s="38"/>
      <c r="E155" s="63"/>
      <c r="G155" s="38"/>
      <c r="H155" s="38"/>
      <c r="I155" s="38"/>
      <c r="J155" s="38"/>
    </row>
    <row r="156">
      <c r="A156" s="143" t="s">
        <v>972</v>
      </c>
      <c r="B156" s="163">
        <v>111300.0</v>
      </c>
      <c r="C156" s="105">
        <f t="shared" si="5"/>
        <v>122430</v>
      </c>
      <c r="D156" s="38"/>
      <c r="E156" s="63"/>
      <c r="G156" s="38"/>
      <c r="H156" s="38"/>
      <c r="I156" s="38"/>
      <c r="J156" s="38"/>
    </row>
    <row r="157">
      <c r="A157" s="143" t="s">
        <v>973</v>
      </c>
      <c r="B157" s="163">
        <v>120300.0</v>
      </c>
      <c r="C157" s="105">
        <f t="shared" si="5"/>
        <v>132330</v>
      </c>
      <c r="D157" s="38"/>
      <c r="E157" s="63"/>
      <c r="G157" s="38"/>
      <c r="H157" s="38"/>
      <c r="I157" s="38"/>
      <c r="J157" s="38"/>
    </row>
    <row r="158">
      <c r="A158" s="143" t="s">
        <v>974</v>
      </c>
      <c r="B158" s="163">
        <v>204600.0</v>
      </c>
      <c r="C158" s="105">
        <f t="shared" si="5"/>
        <v>225060</v>
      </c>
      <c r="D158" s="38"/>
      <c r="E158" s="63"/>
      <c r="G158" s="38"/>
      <c r="H158" s="38"/>
      <c r="I158" s="38"/>
      <c r="J158" s="38"/>
    </row>
    <row r="159">
      <c r="A159" s="143" t="s">
        <v>975</v>
      </c>
      <c r="B159" s="163">
        <v>84600.0</v>
      </c>
      <c r="C159" s="105">
        <f t="shared" si="5"/>
        <v>93060</v>
      </c>
      <c r="D159" s="38"/>
      <c r="E159" s="39"/>
      <c r="G159" s="38"/>
      <c r="H159" s="38"/>
      <c r="I159" s="38"/>
      <c r="J159" s="38"/>
    </row>
    <row r="160">
      <c r="A160" s="143" t="s">
        <v>976</v>
      </c>
      <c r="B160" s="163">
        <v>90000.0</v>
      </c>
      <c r="C160" s="105">
        <f t="shared" si="5"/>
        <v>99000</v>
      </c>
      <c r="D160" s="38"/>
      <c r="E160" s="39"/>
      <c r="G160" s="38"/>
      <c r="H160" s="38"/>
      <c r="I160" s="38"/>
      <c r="J160" s="38"/>
    </row>
    <row r="161">
      <c r="A161" s="143" t="s">
        <v>977</v>
      </c>
      <c r="B161" s="163">
        <v>107700.0</v>
      </c>
      <c r="C161" s="105">
        <f t="shared" si="5"/>
        <v>118470</v>
      </c>
      <c r="D161" s="38"/>
      <c r="E161" s="63"/>
      <c r="G161" s="38"/>
      <c r="H161" s="38"/>
      <c r="I161" s="38"/>
      <c r="J161" s="38"/>
    </row>
    <row r="162">
      <c r="A162" s="143" t="s">
        <v>978</v>
      </c>
      <c r="B162" s="163">
        <v>130500.0</v>
      </c>
      <c r="C162" s="105">
        <f t="shared" si="5"/>
        <v>143550</v>
      </c>
      <c r="D162" s="38"/>
      <c r="E162" s="63"/>
      <c r="G162" s="38"/>
      <c r="H162" s="38"/>
      <c r="I162" s="38"/>
      <c r="J162" s="38"/>
    </row>
    <row r="163">
      <c r="A163" s="143" t="s">
        <v>979</v>
      </c>
      <c r="B163" s="163">
        <v>140700.0</v>
      </c>
      <c r="C163" s="105">
        <f t="shared" si="5"/>
        <v>154770</v>
      </c>
      <c r="D163" s="38"/>
      <c r="E163" s="63"/>
      <c r="G163" s="38"/>
      <c r="H163" s="38"/>
      <c r="I163" s="38"/>
      <c r="J163" s="38"/>
    </row>
    <row r="164">
      <c r="A164" s="143" t="s">
        <v>980</v>
      </c>
      <c r="B164" s="163">
        <v>147000.0</v>
      </c>
      <c r="C164" s="105">
        <f t="shared" si="5"/>
        <v>161700</v>
      </c>
      <c r="D164" s="38"/>
      <c r="E164" s="63"/>
      <c r="G164" s="38"/>
      <c r="H164" s="38"/>
      <c r="I164" s="38"/>
      <c r="J164" s="38"/>
    </row>
    <row r="165">
      <c r="A165" s="143" t="s">
        <v>981</v>
      </c>
      <c r="B165" s="163">
        <v>204000.0</v>
      </c>
      <c r="C165" s="105">
        <f t="shared" si="5"/>
        <v>224400</v>
      </c>
      <c r="D165" s="38"/>
      <c r="E165" s="63"/>
      <c r="G165" s="38"/>
      <c r="H165" s="38"/>
      <c r="I165" s="38"/>
      <c r="J165" s="38"/>
    </row>
    <row r="166">
      <c r="A166" s="143" t="s">
        <v>982</v>
      </c>
      <c r="B166" s="163">
        <v>210900.0</v>
      </c>
      <c r="C166" s="105">
        <f t="shared" si="5"/>
        <v>231990</v>
      </c>
      <c r="D166" s="38"/>
      <c r="E166" s="63"/>
      <c r="G166" s="38"/>
      <c r="H166" s="38"/>
      <c r="I166" s="38"/>
      <c r="J166" s="38"/>
    </row>
    <row r="167">
      <c r="A167" s="143" t="s">
        <v>983</v>
      </c>
      <c r="B167" s="163">
        <v>93900.0</v>
      </c>
      <c r="C167" s="105">
        <f t="shared" si="5"/>
        <v>103290</v>
      </c>
      <c r="D167" s="38"/>
      <c r="E167" s="63"/>
      <c r="G167" s="38"/>
      <c r="H167" s="38"/>
      <c r="I167" s="38"/>
      <c r="J167" s="38"/>
    </row>
    <row r="168">
      <c r="A168" s="147" t="s">
        <v>984</v>
      </c>
      <c r="B168" s="161"/>
      <c r="C168" s="105"/>
      <c r="D168" s="38"/>
      <c r="E168" s="63"/>
      <c r="G168" s="38"/>
      <c r="H168" s="38"/>
      <c r="I168" s="38"/>
      <c r="J168" s="38"/>
    </row>
    <row r="169">
      <c r="C169" s="177"/>
      <c r="D169" s="38"/>
      <c r="E169" s="63"/>
      <c r="F169" s="38"/>
      <c r="G169" s="38"/>
      <c r="H169" s="38"/>
      <c r="I169" s="38"/>
      <c r="J169" s="38"/>
    </row>
    <row r="170">
      <c r="C170" s="177"/>
      <c r="D170" s="38"/>
      <c r="E170" s="63"/>
      <c r="F170" s="38"/>
      <c r="G170" s="38"/>
      <c r="H170" s="38"/>
      <c r="I170" s="38"/>
      <c r="J170" s="38"/>
    </row>
    <row r="171">
      <c r="A171" s="178" t="s">
        <v>626</v>
      </c>
      <c r="B171" s="163" t="s">
        <v>824</v>
      </c>
      <c r="C171" s="176" t="s">
        <v>6</v>
      </c>
      <c r="D171" s="38"/>
      <c r="E171" s="38"/>
    </row>
    <row r="172">
      <c r="A172" s="147" t="s">
        <v>985</v>
      </c>
      <c r="B172" s="163">
        <v>14600.0</v>
      </c>
      <c r="C172" s="105">
        <f t="shared" ref="C172:C174" si="6">(B172*1.1)</f>
        <v>16060</v>
      </c>
      <c r="D172" s="38"/>
      <c r="E172" s="38"/>
    </row>
    <row r="173">
      <c r="A173" s="147" t="s">
        <v>986</v>
      </c>
      <c r="B173" s="163">
        <v>14600.0</v>
      </c>
      <c r="C173" s="105">
        <f t="shared" si="6"/>
        <v>16060</v>
      </c>
      <c r="D173" s="38"/>
      <c r="E173" s="38"/>
    </row>
    <row r="174">
      <c r="A174" s="147" t="s">
        <v>987</v>
      </c>
      <c r="B174" s="163">
        <v>12000.0</v>
      </c>
      <c r="C174" s="105">
        <f t="shared" si="6"/>
        <v>13200</v>
      </c>
      <c r="D174" s="38"/>
      <c r="E174" s="38"/>
    </row>
    <row r="175">
      <c r="A175" s="147" t="s">
        <v>988</v>
      </c>
      <c r="B175" s="163"/>
      <c r="C175" s="105"/>
      <c r="D175" s="38"/>
      <c r="E175" s="38"/>
    </row>
    <row r="176">
      <c r="A176" s="147" t="s">
        <v>989</v>
      </c>
      <c r="B176" s="163">
        <v>15400.0</v>
      </c>
      <c r="C176" s="105">
        <f t="shared" ref="C176:C178" si="7">(B176*1.1)</f>
        <v>16940</v>
      </c>
      <c r="D176" s="38"/>
      <c r="E176" s="38"/>
    </row>
    <row r="177">
      <c r="A177" s="147" t="s">
        <v>990</v>
      </c>
      <c r="B177" s="163">
        <v>23000.0</v>
      </c>
      <c r="C177" s="105">
        <f t="shared" si="7"/>
        <v>25300</v>
      </c>
      <c r="D177" s="38"/>
      <c r="E177" s="38"/>
    </row>
    <row r="178">
      <c r="A178" s="164" t="s">
        <v>991</v>
      </c>
      <c r="B178" s="163">
        <v>22300.0</v>
      </c>
      <c r="C178" s="105">
        <f t="shared" si="7"/>
        <v>24530</v>
      </c>
      <c r="D178" s="38"/>
      <c r="E178" s="38"/>
    </row>
    <row r="179">
      <c r="A179" s="103" t="s">
        <v>992</v>
      </c>
      <c r="B179" s="161"/>
      <c r="C179" s="105"/>
      <c r="D179" s="38"/>
      <c r="E179" s="38"/>
    </row>
    <row r="180">
      <c r="A180" s="143" t="s">
        <v>993</v>
      </c>
      <c r="B180" s="163">
        <v>23700.0</v>
      </c>
      <c r="C180" s="105">
        <f t="shared" ref="C180:C227" si="8">(B180*1.1)</f>
        <v>26070</v>
      </c>
      <c r="D180" s="38"/>
      <c r="E180" s="38"/>
    </row>
    <row r="181">
      <c r="A181" s="147" t="s">
        <v>994</v>
      </c>
      <c r="B181" s="163">
        <v>22300.0</v>
      </c>
      <c r="C181" s="105">
        <f t="shared" si="8"/>
        <v>24530</v>
      </c>
      <c r="D181" s="38"/>
      <c r="E181" s="38"/>
    </row>
    <row r="182">
      <c r="A182" s="147" t="s">
        <v>995</v>
      </c>
      <c r="B182" s="163">
        <v>23700.0</v>
      </c>
      <c r="C182" s="105">
        <f t="shared" si="8"/>
        <v>26070</v>
      </c>
      <c r="D182" s="38"/>
      <c r="E182" s="38"/>
    </row>
    <row r="183">
      <c r="A183" s="147" t="s">
        <v>996</v>
      </c>
      <c r="B183" s="163">
        <v>28000.0</v>
      </c>
      <c r="C183" s="105">
        <f t="shared" si="8"/>
        <v>30800</v>
      </c>
      <c r="D183" s="38"/>
      <c r="E183" s="63"/>
      <c r="F183" s="38"/>
      <c r="G183" s="38"/>
      <c r="H183" s="38"/>
      <c r="I183" s="38"/>
      <c r="J183" s="38"/>
      <c r="K183" s="38"/>
    </row>
    <row r="184">
      <c r="A184" s="179" t="s">
        <v>997</v>
      </c>
      <c r="B184" s="163">
        <v>28000.0</v>
      </c>
      <c r="C184" s="105">
        <f t="shared" si="8"/>
        <v>30800</v>
      </c>
      <c r="D184" s="38"/>
      <c r="E184" s="63"/>
      <c r="F184" s="38"/>
      <c r="G184" s="38"/>
      <c r="H184" s="38"/>
      <c r="I184" s="38"/>
      <c r="J184" s="38"/>
      <c r="K184" s="38"/>
    </row>
    <row r="185">
      <c r="A185" s="147" t="s">
        <v>998</v>
      </c>
      <c r="B185" s="163">
        <v>28000.0</v>
      </c>
      <c r="C185" s="105">
        <f t="shared" si="8"/>
        <v>30800</v>
      </c>
      <c r="D185" s="38"/>
      <c r="E185" s="63"/>
      <c r="F185" s="38"/>
      <c r="G185" s="38"/>
      <c r="H185" s="38"/>
      <c r="I185" s="38"/>
      <c r="J185" s="38"/>
      <c r="K185" s="38"/>
    </row>
    <row r="186">
      <c r="A186" s="147" t="s">
        <v>999</v>
      </c>
      <c r="B186" s="163">
        <v>28000.0</v>
      </c>
      <c r="C186" s="105">
        <f t="shared" si="8"/>
        <v>30800</v>
      </c>
      <c r="D186" s="38"/>
      <c r="E186" s="63"/>
      <c r="F186" s="38"/>
      <c r="G186" s="38"/>
      <c r="H186" s="38"/>
      <c r="I186" s="38"/>
      <c r="J186" s="38"/>
      <c r="K186" s="38"/>
    </row>
    <row r="187">
      <c r="A187" s="151" t="s">
        <v>1000</v>
      </c>
      <c r="B187" s="163">
        <v>30000.0</v>
      </c>
      <c r="C187" s="105">
        <f t="shared" si="8"/>
        <v>33000</v>
      </c>
      <c r="D187" s="38"/>
      <c r="E187" s="63"/>
      <c r="F187" s="38"/>
      <c r="G187" s="38"/>
      <c r="H187" s="38"/>
      <c r="I187" s="38"/>
      <c r="J187" s="38"/>
      <c r="K187" s="38"/>
    </row>
    <row r="188">
      <c r="A188" s="103" t="s">
        <v>1001</v>
      </c>
      <c r="B188" s="163">
        <v>32000.0</v>
      </c>
      <c r="C188" s="105">
        <f t="shared" si="8"/>
        <v>35200</v>
      </c>
      <c r="D188" s="38"/>
      <c r="E188" s="63"/>
      <c r="F188" s="38"/>
      <c r="G188" s="38"/>
      <c r="H188" s="38"/>
      <c r="I188" s="38"/>
      <c r="J188" s="38"/>
      <c r="K188" s="38"/>
    </row>
    <row r="189">
      <c r="A189" s="147" t="s">
        <v>1002</v>
      </c>
      <c r="B189" s="180">
        <v>25400.0</v>
      </c>
      <c r="C189" s="105">
        <f t="shared" si="8"/>
        <v>27940</v>
      </c>
      <c r="D189" s="38"/>
      <c r="E189" s="63"/>
      <c r="F189" s="38"/>
      <c r="G189" s="38"/>
      <c r="H189" s="38"/>
      <c r="I189" s="38"/>
      <c r="J189" s="38"/>
      <c r="K189" s="38"/>
    </row>
    <row r="190">
      <c r="A190" s="147" t="s">
        <v>1003</v>
      </c>
      <c r="B190" s="180">
        <v>25400.0</v>
      </c>
      <c r="C190" s="105">
        <f t="shared" si="8"/>
        <v>27940</v>
      </c>
      <c r="D190" s="38"/>
      <c r="E190" s="63"/>
      <c r="F190" s="38"/>
      <c r="G190" s="38"/>
      <c r="H190" s="38"/>
      <c r="I190" s="38"/>
      <c r="J190" s="38"/>
      <c r="K190" s="38"/>
    </row>
    <row r="191">
      <c r="A191" s="147" t="s">
        <v>1004</v>
      </c>
      <c r="B191" s="180">
        <v>25500.0</v>
      </c>
      <c r="C191" s="105">
        <f t="shared" si="8"/>
        <v>28050</v>
      </c>
      <c r="D191" s="38"/>
      <c r="E191" s="63"/>
      <c r="F191" s="38"/>
      <c r="G191" s="38"/>
      <c r="H191" s="38"/>
      <c r="I191" s="38"/>
      <c r="J191" s="38"/>
      <c r="K191" s="38"/>
    </row>
    <row r="192">
      <c r="A192" s="147" t="s">
        <v>1005</v>
      </c>
      <c r="B192" s="180">
        <v>26000.0</v>
      </c>
      <c r="C192" s="105">
        <f t="shared" si="8"/>
        <v>28600</v>
      </c>
      <c r="D192" s="38"/>
      <c r="E192" s="63"/>
      <c r="F192" s="38"/>
      <c r="G192" s="38"/>
      <c r="H192" s="38"/>
      <c r="I192" s="38"/>
      <c r="J192" s="38"/>
      <c r="K192" s="38"/>
    </row>
    <row r="193">
      <c r="A193" s="103" t="s">
        <v>1006</v>
      </c>
      <c r="B193" s="180">
        <v>26000.0</v>
      </c>
      <c r="C193" s="105">
        <f t="shared" si="8"/>
        <v>28600</v>
      </c>
      <c r="D193" s="38"/>
      <c r="E193" s="63"/>
      <c r="F193" s="38"/>
      <c r="G193" s="38"/>
      <c r="H193" s="38"/>
      <c r="I193" s="38"/>
      <c r="J193" s="38"/>
      <c r="K193" s="38"/>
    </row>
    <row r="194">
      <c r="A194" s="103" t="s">
        <v>1007</v>
      </c>
      <c r="B194" s="180">
        <v>26000.0</v>
      </c>
      <c r="C194" s="105">
        <f t="shared" si="8"/>
        <v>28600</v>
      </c>
      <c r="D194" s="38"/>
      <c r="E194" s="63"/>
      <c r="F194" s="38"/>
      <c r="G194" s="38"/>
      <c r="H194" s="38"/>
      <c r="I194" s="38"/>
      <c r="J194" s="38"/>
      <c r="K194" s="38"/>
    </row>
    <row r="195">
      <c r="A195" s="147" t="s">
        <v>1008</v>
      </c>
      <c r="B195" s="180">
        <v>26000.0</v>
      </c>
      <c r="C195" s="105">
        <f t="shared" si="8"/>
        <v>28600</v>
      </c>
      <c r="D195" s="38"/>
      <c r="E195" s="63"/>
      <c r="F195" s="38"/>
      <c r="G195" s="38"/>
      <c r="H195" s="38"/>
      <c r="I195" s="38"/>
      <c r="J195" s="38"/>
      <c r="K195" s="38"/>
    </row>
    <row r="196">
      <c r="A196" s="147" t="s">
        <v>1009</v>
      </c>
      <c r="B196" s="180">
        <v>26000.0</v>
      </c>
      <c r="C196" s="105">
        <f t="shared" si="8"/>
        <v>28600</v>
      </c>
      <c r="D196" s="38"/>
      <c r="E196" s="63"/>
      <c r="F196" s="38"/>
      <c r="G196" s="38"/>
      <c r="H196" s="38"/>
      <c r="I196" s="38"/>
      <c r="J196" s="38"/>
      <c r="K196" s="38"/>
    </row>
    <row r="197">
      <c r="A197" s="103" t="s">
        <v>1010</v>
      </c>
      <c r="B197" s="180">
        <v>27000.0</v>
      </c>
      <c r="C197" s="105">
        <f t="shared" si="8"/>
        <v>29700</v>
      </c>
      <c r="D197" s="38"/>
      <c r="E197" s="63"/>
      <c r="F197" s="38"/>
      <c r="G197" s="38"/>
      <c r="H197" s="38"/>
      <c r="I197" s="38"/>
      <c r="J197" s="38"/>
      <c r="K197" s="38"/>
    </row>
    <row r="198">
      <c r="A198" s="147" t="s">
        <v>1011</v>
      </c>
      <c r="B198" s="180">
        <v>27000.0</v>
      </c>
      <c r="C198" s="105">
        <f t="shared" si="8"/>
        <v>29700</v>
      </c>
      <c r="D198" s="38"/>
      <c r="E198" s="63"/>
      <c r="F198" s="38"/>
      <c r="G198" s="38"/>
      <c r="H198" s="38"/>
      <c r="I198" s="38"/>
      <c r="J198" s="38"/>
      <c r="K198" s="38"/>
    </row>
    <row r="199">
      <c r="A199" s="147" t="s">
        <v>1012</v>
      </c>
      <c r="B199" s="180">
        <v>26500.0</v>
      </c>
      <c r="C199" s="105">
        <f t="shared" si="8"/>
        <v>29150</v>
      </c>
      <c r="D199" s="38"/>
      <c r="E199" s="63"/>
      <c r="F199" s="38"/>
      <c r="G199" s="38"/>
      <c r="H199" s="38"/>
      <c r="I199" s="38"/>
      <c r="J199" s="38"/>
      <c r="K199" s="38"/>
    </row>
    <row r="200">
      <c r="A200" s="147" t="s">
        <v>1013</v>
      </c>
      <c r="B200" s="180">
        <v>26500.0</v>
      </c>
      <c r="C200" s="105">
        <f t="shared" si="8"/>
        <v>29150</v>
      </c>
      <c r="D200" s="38"/>
      <c r="E200" s="38"/>
      <c r="F200" s="38"/>
      <c r="G200" s="38"/>
      <c r="H200" s="38"/>
      <c r="I200" s="38"/>
      <c r="J200" s="38"/>
      <c r="K200" s="38"/>
    </row>
    <row r="201">
      <c r="A201" s="147" t="s">
        <v>1014</v>
      </c>
      <c r="B201" s="180">
        <v>26500.0</v>
      </c>
      <c r="C201" s="105">
        <f t="shared" si="8"/>
        <v>29150</v>
      </c>
      <c r="D201" s="38"/>
      <c r="E201" s="38"/>
      <c r="F201" s="38"/>
      <c r="G201" s="38"/>
      <c r="H201" s="38"/>
      <c r="I201" s="38"/>
      <c r="J201" s="38"/>
      <c r="K201" s="38"/>
    </row>
    <row r="202">
      <c r="A202" s="147" t="s">
        <v>1015</v>
      </c>
      <c r="B202" s="180">
        <v>28000.0</v>
      </c>
      <c r="C202" s="105">
        <f t="shared" si="8"/>
        <v>30800</v>
      </c>
      <c r="D202" s="38"/>
      <c r="E202" s="38"/>
      <c r="F202" s="38"/>
      <c r="G202" s="38"/>
      <c r="H202" s="38"/>
      <c r="I202" s="38"/>
      <c r="J202" s="38"/>
      <c r="K202" s="38"/>
    </row>
    <row r="203">
      <c r="A203" s="147" t="s">
        <v>1016</v>
      </c>
      <c r="B203" s="163">
        <v>28000.0</v>
      </c>
      <c r="C203" s="105">
        <f t="shared" si="8"/>
        <v>30800</v>
      </c>
      <c r="D203" s="38"/>
      <c r="E203" s="38"/>
      <c r="F203" s="38"/>
      <c r="G203" s="38"/>
      <c r="H203" s="38"/>
      <c r="I203" s="38"/>
      <c r="J203" s="38"/>
      <c r="K203" s="38"/>
    </row>
    <row r="204">
      <c r="A204" s="147" t="s">
        <v>1017</v>
      </c>
      <c r="B204" s="163">
        <v>28000.0</v>
      </c>
      <c r="C204" s="105">
        <f t="shared" si="8"/>
        <v>30800</v>
      </c>
      <c r="D204" s="38"/>
      <c r="E204" s="38"/>
      <c r="F204" s="38"/>
      <c r="G204" s="38"/>
      <c r="H204" s="38"/>
      <c r="I204" s="38"/>
      <c r="J204" s="38"/>
      <c r="K204" s="38"/>
    </row>
    <row r="205">
      <c r="A205" s="147" t="s">
        <v>1018</v>
      </c>
      <c r="B205" s="163">
        <v>28000.0</v>
      </c>
      <c r="C205" s="105">
        <f t="shared" si="8"/>
        <v>30800</v>
      </c>
      <c r="D205" s="38"/>
      <c r="E205" s="38"/>
      <c r="F205" s="38"/>
      <c r="G205" s="38"/>
      <c r="H205" s="38"/>
      <c r="I205" s="38"/>
      <c r="J205" s="38"/>
      <c r="K205" s="38"/>
    </row>
    <row r="206">
      <c r="A206" s="147" t="s">
        <v>1019</v>
      </c>
      <c r="B206" s="163">
        <v>27000.0</v>
      </c>
      <c r="C206" s="105">
        <f t="shared" si="8"/>
        <v>29700</v>
      </c>
      <c r="D206" s="38"/>
      <c r="E206" s="38"/>
      <c r="F206" s="38"/>
      <c r="G206" s="38"/>
      <c r="H206" s="38"/>
      <c r="I206" s="38"/>
      <c r="J206" s="38"/>
      <c r="K206" s="38"/>
    </row>
    <row r="207">
      <c r="A207" s="147" t="s">
        <v>1020</v>
      </c>
      <c r="B207" s="163">
        <v>28000.0</v>
      </c>
      <c r="C207" s="105">
        <f t="shared" si="8"/>
        <v>30800</v>
      </c>
      <c r="G207" s="38"/>
      <c r="H207" s="38"/>
      <c r="I207" s="38"/>
    </row>
    <row r="208">
      <c r="A208" s="147" t="s">
        <v>1021</v>
      </c>
      <c r="B208" s="163">
        <v>28000.0</v>
      </c>
      <c r="C208" s="105">
        <f t="shared" si="8"/>
        <v>30800</v>
      </c>
      <c r="G208" s="38"/>
      <c r="H208" s="38"/>
      <c r="I208" s="38"/>
    </row>
    <row r="209">
      <c r="A209" s="147" t="s">
        <v>1022</v>
      </c>
      <c r="B209" s="163">
        <v>28000.0</v>
      </c>
      <c r="C209" s="105">
        <f t="shared" si="8"/>
        <v>30800</v>
      </c>
      <c r="G209" s="38"/>
      <c r="H209" s="38"/>
      <c r="I209" s="38"/>
    </row>
    <row r="210">
      <c r="A210" s="147" t="s">
        <v>1023</v>
      </c>
      <c r="B210" s="163">
        <v>28000.0</v>
      </c>
      <c r="C210" s="105">
        <f t="shared" si="8"/>
        <v>30800</v>
      </c>
    </row>
    <row r="211">
      <c r="A211" s="147" t="s">
        <v>1024</v>
      </c>
      <c r="B211" s="163">
        <v>28000.0</v>
      </c>
      <c r="C211" s="105">
        <f t="shared" si="8"/>
        <v>30800</v>
      </c>
    </row>
    <row r="212">
      <c r="A212" s="151" t="s">
        <v>1025</v>
      </c>
      <c r="B212" s="163">
        <v>28500.0</v>
      </c>
      <c r="C212" s="105">
        <f t="shared" si="8"/>
        <v>31350</v>
      </c>
    </row>
    <row r="213">
      <c r="A213" s="103" t="s">
        <v>1026</v>
      </c>
      <c r="B213" s="163">
        <v>28500.0</v>
      </c>
      <c r="C213" s="105">
        <f t="shared" si="8"/>
        <v>31350</v>
      </c>
    </row>
    <row r="214">
      <c r="A214" s="151" t="s">
        <v>1027</v>
      </c>
      <c r="B214" s="163">
        <v>29000.0</v>
      </c>
      <c r="C214" s="105">
        <f t="shared" si="8"/>
        <v>31900</v>
      </c>
    </row>
    <row r="215">
      <c r="A215" s="103" t="s">
        <v>1028</v>
      </c>
      <c r="B215" s="163">
        <v>32000.0</v>
      </c>
      <c r="C215" s="105">
        <f t="shared" si="8"/>
        <v>35200</v>
      </c>
    </row>
    <row r="216">
      <c r="A216" s="143" t="s">
        <v>1029</v>
      </c>
      <c r="B216" s="163">
        <v>35000.0</v>
      </c>
      <c r="C216" s="105">
        <f t="shared" si="8"/>
        <v>38500</v>
      </c>
      <c r="G216" s="38"/>
      <c r="H216" s="38"/>
      <c r="I216" s="38"/>
    </row>
    <row r="217">
      <c r="A217" s="143" t="s">
        <v>1030</v>
      </c>
      <c r="B217" s="163">
        <v>35000.0</v>
      </c>
      <c r="C217" s="105">
        <f t="shared" si="8"/>
        <v>38500</v>
      </c>
      <c r="D217" s="176" t="s">
        <v>1031</v>
      </c>
      <c r="G217" s="38"/>
      <c r="H217" s="38"/>
      <c r="I217" s="38"/>
    </row>
    <row r="218">
      <c r="A218" s="143" t="s">
        <v>1032</v>
      </c>
      <c r="B218" s="163">
        <v>35000.0</v>
      </c>
      <c r="C218" s="105">
        <f t="shared" si="8"/>
        <v>38500</v>
      </c>
      <c r="G218" s="38"/>
      <c r="H218" s="38"/>
      <c r="I218" s="38"/>
    </row>
    <row r="219">
      <c r="A219" s="143" t="s">
        <v>1033</v>
      </c>
      <c r="B219" s="163">
        <v>35000.0</v>
      </c>
      <c r="C219" s="105">
        <f t="shared" si="8"/>
        <v>38500</v>
      </c>
      <c r="G219" s="38"/>
      <c r="H219" s="38"/>
      <c r="I219" s="38"/>
    </row>
    <row r="220">
      <c r="A220" s="147" t="s">
        <v>1034</v>
      </c>
      <c r="B220" s="163">
        <v>38000.0</v>
      </c>
      <c r="C220" s="105">
        <f t="shared" si="8"/>
        <v>41800</v>
      </c>
    </row>
    <row r="221">
      <c r="A221" s="147" t="s">
        <v>1035</v>
      </c>
      <c r="B221" s="163">
        <v>24000.0</v>
      </c>
      <c r="C221" s="105">
        <f t="shared" si="8"/>
        <v>26400</v>
      </c>
    </row>
    <row r="222">
      <c r="A222" s="147" t="s">
        <v>1036</v>
      </c>
      <c r="B222" s="163">
        <v>24000.0</v>
      </c>
      <c r="C222" s="105">
        <f t="shared" si="8"/>
        <v>26400</v>
      </c>
    </row>
    <row r="223">
      <c r="A223" s="143" t="s">
        <v>1037</v>
      </c>
      <c r="B223" s="163">
        <v>25000.0</v>
      </c>
      <c r="C223" s="105">
        <f t="shared" si="8"/>
        <v>27500</v>
      </c>
      <c r="D223" s="38"/>
      <c r="E223" s="38"/>
      <c r="F223" s="38"/>
    </row>
    <row r="224">
      <c r="A224" s="147" t="s">
        <v>1038</v>
      </c>
      <c r="B224" s="163">
        <v>26000.0</v>
      </c>
      <c r="C224" s="105">
        <f t="shared" si="8"/>
        <v>28600</v>
      </c>
      <c r="D224" s="38"/>
      <c r="E224" s="38"/>
      <c r="F224" s="38"/>
    </row>
    <row r="225">
      <c r="A225" s="147" t="s">
        <v>1039</v>
      </c>
      <c r="B225" s="163">
        <v>28000.0</v>
      </c>
      <c r="C225" s="105">
        <f t="shared" si="8"/>
        <v>30800</v>
      </c>
      <c r="D225" s="38"/>
      <c r="E225" s="38"/>
      <c r="F225" s="38"/>
    </row>
    <row r="226">
      <c r="A226" s="147" t="s">
        <v>1040</v>
      </c>
      <c r="B226" s="163">
        <v>28000.0</v>
      </c>
      <c r="C226" s="105">
        <f t="shared" si="8"/>
        <v>30800</v>
      </c>
      <c r="D226" s="38"/>
      <c r="E226" s="38"/>
      <c r="F226" s="38"/>
    </row>
    <row r="227">
      <c r="A227" s="151" t="s">
        <v>1041</v>
      </c>
      <c r="B227" s="163">
        <v>28000.0</v>
      </c>
      <c r="C227" s="105">
        <f t="shared" si="8"/>
        <v>30800</v>
      </c>
      <c r="D227" s="38"/>
      <c r="E227" s="38"/>
      <c r="F227" s="38"/>
    </row>
    <row r="228">
      <c r="A228" s="103" t="s">
        <v>1042</v>
      </c>
      <c r="B228" s="161"/>
      <c r="C228" s="105"/>
      <c r="D228" s="38"/>
      <c r="E228" s="38"/>
      <c r="F228" s="38"/>
    </row>
    <row r="229">
      <c r="A229" s="103" t="s">
        <v>1043</v>
      </c>
      <c r="B229" s="161"/>
      <c r="C229" s="105"/>
      <c r="D229" s="38"/>
      <c r="E229" s="38"/>
      <c r="F229" s="38"/>
    </row>
    <row r="230">
      <c r="A230" s="103" t="s">
        <v>1044</v>
      </c>
      <c r="B230" s="163">
        <v>29000.0</v>
      </c>
      <c r="C230" s="105">
        <f t="shared" ref="C230:C232" si="9">(B230*1.1)</f>
        <v>31900</v>
      </c>
      <c r="D230" s="38"/>
      <c r="E230" s="38"/>
      <c r="F230" s="38"/>
    </row>
    <row r="231">
      <c r="A231" s="103" t="s">
        <v>1045</v>
      </c>
      <c r="B231" s="163">
        <v>24000.0</v>
      </c>
      <c r="C231" s="105">
        <f t="shared" si="9"/>
        <v>26400</v>
      </c>
      <c r="D231" s="38"/>
      <c r="E231" s="38"/>
      <c r="F231" s="38"/>
    </row>
    <row r="232">
      <c r="A232" s="151" t="s">
        <v>1046</v>
      </c>
      <c r="B232" s="163">
        <v>29000.0</v>
      </c>
      <c r="C232" s="105">
        <f t="shared" si="9"/>
        <v>31900</v>
      </c>
      <c r="D232" s="38"/>
      <c r="E232" s="38"/>
      <c r="F232" s="38"/>
    </row>
    <row r="233">
      <c r="B233" s="181"/>
      <c r="C233" s="105"/>
      <c r="D233" s="38"/>
      <c r="E233" s="38"/>
      <c r="F233" s="38"/>
    </row>
    <row r="234">
      <c r="A234" s="151" t="s">
        <v>1047</v>
      </c>
      <c r="B234" s="173">
        <v>35000.0</v>
      </c>
      <c r="C234" s="105">
        <f t="shared" ref="C234:C235" si="10">(B234*1.1)</f>
        <v>38500</v>
      </c>
    </row>
    <row r="235">
      <c r="A235" s="151" t="s">
        <v>1048</v>
      </c>
      <c r="B235" s="173">
        <v>39000.0</v>
      </c>
      <c r="C235" s="105">
        <f t="shared" si="10"/>
        <v>42900</v>
      </c>
    </row>
    <row r="236">
      <c r="A236" s="38"/>
      <c r="B236" s="38"/>
      <c r="C236" s="105"/>
    </row>
    <row r="237">
      <c r="A237" s="182" t="s">
        <v>1049</v>
      </c>
      <c r="B237" s="163" t="s">
        <v>824</v>
      </c>
      <c r="C237" s="176" t="s">
        <v>6</v>
      </c>
      <c r="D237" s="38"/>
      <c r="E237" s="38"/>
      <c r="F237" s="38"/>
      <c r="G237" s="38"/>
      <c r="H237" s="38"/>
      <c r="I237" s="38"/>
      <c r="J237" s="38"/>
      <c r="K237" s="38"/>
    </row>
    <row r="238">
      <c r="A238" s="147" t="s">
        <v>1050</v>
      </c>
      <c r="B238" s="168"/>
      <c r="C238" s="105"/>
      <c r="D238" s="38"/>
      <c r="E238" s="38"/>
      <c r="F238" s="38"/>
      <c r="G238" s="38"/>
      <c r="H238" s="38"/>
      <c r="I238" s="38"/>
      <c r="J238" s="38"/>
      <c r="K238" s="38"/>
    </row>
    <row r="239">
      <c r="A239" s="147" t="s">
        <v>1051</v>
      </c>
      <c r="B239" s="163">
        <v>16500.0</v>
      </c>
      <c r="C239" s="105">
        <f t="shared" ref="C239:C242" si="11">(B239*1.1)</f>
        <v>18150</v>
      </c>
      <c r="D239" s="38"/>
      <c r="E239" s="38"/>
      <c r="F239" s="38"/>
      <c r="G239" s="38"/>
      <c r="H239" s="38"/>
      <c r="I239" s="38"/>
      <c r="J239" s="38"/>
      <c r="K239" s="38"/>
    </row>
    <row r="240">
      <c r="A240" s="103" t="s">
        <v>1052</v>
      </c>
      <c r="B240" s="163">
        <v>16500.0</v>
      </c>
      <c r="C240" s="105">
        <f t="shared" si="11"/>
        <v>18150</v>
      </c>
      <c r="D240" s="38"/>
      <c r="E240" s="38"/>
      <c r="F240" s="38"/>
      <c r="G240" s="38"/>
      <c r="H240" s="38"/>
      <c r="I240" s="38"/>
      <c r="J240" s="38"/>
      <c r="K240" s="38"/>
    </row>
    <row r="241">
      <c r="A241" s="147" t="s">
        <v>1053</v>
      </c>
      <c r="B241" s="163">
        <v>16500.0</v>
      </c>
      <c r="C241" s="105">
        <f t="shared" si="11"/>
        <v>18150</v>
      </c>
      <c r="D241" s="38"/>
      <c r="E241" s="38"/>
      <c r="F241" s="38"/>
      <c r="G241" s="38"/>
      <c r="H241" s="38"/>
      <c r="I241" s="38"/>
      <c r="J241" s="38"/>
      <c r="K241" s="38"/>
    </row>
    <row r="242">
      <c r="A242" s="147" t="s">
        <v>1054</v>
      </c>
      <c r="B242" s="163">
        <v>16500.0</v>
      </c>
      <c r="C242" s="105">
        <f t="shared" si="11"/>
        <v>18150</v>
      </c>
      <c r="D242" s="38"/>
      <c r="E242" s="38"/>
      <c r="F242" s="38"/>
      <c r="G242" s="38"/>
      <c r="H242" s="38"/>
      <c r="I242" s="38"/>
      <c r="J242" s="38"/>
      <c r="K242" s="38"/>
    </row>
    <row r="243">
      <c r="A243" s="103" t="s">
        <v>1055</v>
      </c>
      <c r="B243" s="161"/>
      <c r="C243" s="105"/>
      <c r="G243" s="38"/>
      <c r="K243" s="38"/>
    </row>
    <row r="244">
      <c r="A244" s="147" t="s">
        <v>1056</v>
      </c>
      <c r="B244" s="163">
        <v>17000.0</v>
      </c>
      <c r="C244" s="105">
        <f t="shared" ref="C244:C257" si="12">(B244*1.1)</f>
        <v>18700</v>
      </c>
      <c r="G244" s="38"/>
      <c r="K244" s="38"/>
    </row>
    <row r="245">
      <c r="A245" s="147" t="s">
        <v>1057</v>
      </c>
      <c r="B245" s="163">
        <v>17000.0</v>
      </c>
      <c r="C245" s="105">
        <f t="shared" si="12"/>
        <v>18700</v>
      </c>
      <c r="G245" s="38"/>
      <c r="K245" s="38"/>
    </row>
    <row r="246">
      <c r="A246" s="147" t="s">
        <v>1058</v>
      </c>
      <c r="B246" s="163">
        <v>18000.0</v>
      </c>
      <c r="C246" s="105">
        <f t="shared" si="12"/>
        <v>19800</v>
      </c>
    </row>
    <row r="247">
      <c r="A247" s="143" t="s">
        <v>1059</v>
      </c>
      <c r="B247" s="163">
        <v>23000.0</v>
      </c>
      <c r="C247" s="105">
        <f t="shared" si="12"/>
        <v>25300</v>
      </c>
    </row>
    <row r="248">
      <c r="A248" s="147" t="s">
        <v>1060</v>
      </c>
      <c r="B248" s="163">
        <v>24600.0</v>
      </c>
      <c r="C248" s="105">
        <f t="shared" si="12"/>
        <v>27060</v>
      </c>
    </row>
    <row r="249">
      <c r="A249" s="147" t="s">
        <v>1061</v>
      </c>
      <c r="B249" s="163">
        <v>23000.0</v>
      </c>
      <c r="C249" s="105">
        <f t="shared" si="12"/>
        <v>25300</v>
      </c>
    </row>
    <row r="250">
      <c r="A250" s="147" t="s">
        <v>1062</v>
      </c>
      <c r="B250" s="163">
        <v>24000.0</v>
      </c>
      <c r="C250" s="105">
        <f t="shared" si="12"/>
        <v>26400</v>
      </c>
    </row>
    <row r="251">
      <c r="A251" s="147" t="s">
        <v>1063</v>
      </c>
      <c r="B251" s="163">
        <v>26000.0</v>
      </c>
      <c r="C251" s="105">
        <f t="shared" si="12"/>
        <v>28600</v>
      </c>
    </row>
    <row r="252">
      <c r="A252" s="147" t="s">
        <v>1064</v>
      </c>
      <c r="B252" s="163">
        <v>26700.0</v>
      </c>
      <c r="C252" s="105">
        <f t="shared" si="12"/>
        <v>29370</v>
      </c>
      <c r="G252" s="38"/>
      <c r="K252" s="38"/>
    </row>
    <row r="253">
      <c r="A253" s="147" t="s">
        <v>1065</v>
      </c>
      <c r="B253" s="163">
        <v>26700.0</v>
      </c>
      <c r="C253" s="105">
        <f t="shared" si="12"/>
        <v>29370</v>
      </c>
      <c r="G253" s="38"/>
      <c r="K253" s="38"/>
    </row>
    <row r="254">
      <c r="A254" s="147" t="s">
        <v>1066</v>
      </c>
      <c r="B254" s="163">
        <v>28000.0</v>
      </c>
      <c r="C254" s="105">
        <f t="shared" si="12"/>
        <v>30800</v>
      </c>
      <c r="G254" s="38"/>
      <c r="K254" s="38"/>
    </row>
    <row r="255">
      <c r="A255" s="147" t="s">
        <v>1067</v>
      </c>
      <c r="B255" s="163">
        <v>26500.0</v>
      </c>
      <c r="C255" s="105">
        <f t="shared" si="12"/>
        <v>29150</v>
      </c>
    </row>
    <row r="256">
      <c r="A256" s="147" t="s">
        <v>1068</v>
      </c>
      <c r="B256" s="163">
        <v>26700.0</v>
      </c>
      <c r="C256" s="105">
        <f t="shared" si="12"/>
        <v>29370</v>
      </c>
    </row>
    <row r="257">
      <c r="A257" s="147" t="s">
        <v>1069</v>
      </c>
      <c r="B257" s="163">
        <v>26700.0</v>
      </c>
      <c r="C257" s="105">
        <f t="shared" si="12"/>
        <v>29370</v>
      </c>
    </row>
    <row r="258">
      <c r="A258" s="38"/>
      <c r="B258" s="161"/>
      <c r="C258" s="105"/>
      <c r="D258" s="38"/>
      <c r="E258" s="38"/>
      <c r="F258" s="38"/>
      <c r="H258" s="38"/>
      <c r="I258" s="38"/>
      <c r="J258" s="38"/>
    </row>
    <row r="259">
      <c r="A259" s="38"/>
      <c r="B259" s="161"/>
      <c r="C259" s="105"/>
      <c r="D259" s="38"/>
      <c r="E259" s="38"/>
      <c r="F259" s="38"/>
      <c r="H259" s="38"/>
      <c r="I259" s="38"/>
      <c r="J259" s="38"/>
    </row>
    <row r="260">
      <c r="A260" s="147" t="s">
        <v>1070</v>
      </c>
      <c r="B260" s="163">
        <v>26700.0</v>
      </c>
      <c r="C260" s="105">
        <f t="shared" ref="C260:C265" si="13">(B260*1.1)</f>
        <v>29370</v>
      </c>
      <c r="D260" s="38"/>
      <c r="E260" s="38"/>
      <c r="F260" s="38"/>
      <c r="H260" s="38"/>
      <c r="I260" s="38"/>
      <c r="J260" s="38"/>
    </row>
    <row r="261">
      <c r="A261" s="147" t="s">
        <v>1071</v>
      </c>
      <c r="B261" s="163">
        <v>26700.0</v>
      </c>
      <c r="C261" s="105">
        <f t="shared" si="13"/>
        <v>29370</v>
      </c>
      <c r="D261" s="38"/>
      <c r="E261" s="38"/>
      <c r="F261" s="38"/>
      <c r="H261" s="38"/>
      <c r="I261" s="38"/>
      <c r="J261" s="38"/>
    </row>
    <row r="262">
      <c r="A262" s="147" t="s">
        <v>1072</v>
      </c>
      <c r="B262" s="163">
        <v>26700.0</v>
      </c>
      <c r="C262" s="105">
        <f t="shared" si="13"/>
        <v>29370</v>
      </c>
      <c r="D262" s="38"/>
      <c r="E262" s="38"/>
      <c r="F262" s="38"/>
      <c r="H262" s="38"/>
      <c r="I262" s="38"/>
      <c r="J262" s="38"/>
    </row>
    <row r="263">
      <c r="A263" s="147" t="s">
        <v>1073</v>
      </c>
      <c r="B263" s="163">
        <v>26000.0</v>
      </c>
      <c r="C263" s="105">
        <f t="shared" si="13"/>
        <v>28600</v>
      </c>
      <c r="D263" s="38"/>
      <c r="E263" s="38"/>
      <c r="F263" s="38"/>
      <c r="H263" s="38"/>
      <c r="I263" s="38"/>
      <c r="J263" s="38"/>
    </row>
    <row r="264">
      <c r="A264" s="147" t="s">
        <v>1074</v>
      </c>
      <c r="B264" s="168"/>
      <c r="C264" s="105">
        <f t="shared" si="13"/>
        <v>0</v>
      </c>
      <c r="D264" s="38"/>
      <c r="E264" s="38"/>
      <c r="F264" s="38"/>
      <c r="H264" s="38"/>
      <c r="I264" s="38"/>
      <c r="J264" s="38"/>
    </row>
    <row r="265">
      <c r="A265" s="147" t="s">
        <v>1075</v>
      </c>
      <c r="B265" s="163">
        <v>21200.0</v>
      </c>
      <c r="C265" s="105">
        <f t="shared" si="13"/>
        <v>23320</v>
      </c>
      <c r="D265" s="38"/>
      <c r="E265" s="38"/>
      <c r="F265" s="38"/>
      <c r="H265" s="38"/>
      <c r="I265" s="38"/>
      <c r="J265" s="38"/>
    </row>
    <row r="266">
      <c r="A266" s="147" t="s">
        <v>1075</v>
      </c>
      <c r="B266" s="38"/>
      <c r="C266" s="105"/>
      <c r="D266" s="38"/>
      <c r="E266" s="38"/>
      <c r="F266" s="38"/>
      <c r="H266" s="38"/>
      <c r="I266" s="38"/>
      <c r="J266" s="38"/>
    </row>
    <row r="267">
      <c r="A267" s="38"/>
      <c r="B267" s="38"/>
      <c r="C267" s="105"/>
      <c r="D267" s="38"/>
      <c r="E267" s="38"/>
      <c r="F267" s="38"/>
      <c r="H267" s="38"/>
      <c r="I267" s="38"/>
      <c r="J267" s="38"/>
    </row>
    <row r="268">
      <c r="A268" s="183" t="s">
        <v>1076</v>
      </c>
      <c r="B268" s="163" t="s">
        <v>824</v>
      </c>
      <c r="C268" s="176" t="s">
        <v>6</v>
      </c>
      <c r="D268" s="38"/>
      <c r="E268" s="38"/>
    </row>
    <row r="269">
      <c r="A269" s="147" t="s">
        <v>1077</v>
      </c>
      <c r="B269" s="168"/>
      <c r="C269" s="105"/>
    </row>
    <row r="270">
      <c r="A270" s="147" t="s">
        <v>1078</v>
      </c>
      <c r="B270" s="161"/>
      <c r="C270" s="105"/>
      <c r="G270" s="38"/>
      <c r="K270" s="38"/>
    </row>
    <row r="271">
      <c r="A271" s="147" t="s">
        <v>1079</v>
      </c>
      <c r="B271" s="163">
        <v>23000.0</v>
      </c>
      <c r="C271" s="105">
        <f t="shared" ref="C271:C272" si="14">(B271*1.1)</f>
        <v>25300</v>
      </c>
      <c r="G271" s="38"/>
      <c r="K271" s="38"/>
    </row>
    <row r="272">
      <c r="A272" s="147" t="s">
        <v>1080</v>
      </c>
      <c r="B272" s="163">
        <v>25000.0</v>
      </c>
      <c r="C272" s="105">
        <f t="shared" si="14"/>
        <v>27500</v>
      </c>
      <c r="G272" s="38"/>
      <c r="K272" s="38"/>
    </row>
    <row r="273">
      <c r="A273" s="147" t="s">
        <v>1081</v>
      </c>
      <c r="B273" s="163">
        <v>23000.0</v>
      </c>
      <c r="C273" s="105"/>
    </row>
    <row r="274">
      <c r="A274" s="38"/>
      <c r="B274" s="161"/>
      <c r="C274" s="105"/>
    </row>
    <row r="275">
      <c r="A275" s="147" t="s">
        <v>1082</v>
      </c>
      <c r="B275" s="163">
        <v>24000.0</v>
      </c>
      <c r="C275" s="105">
        <f t="shared" ref="C275:C286" si="15">(B275*1.1)</f>
        <v>26400</v>
      </c>
    </row>
    <row r="276">
      <c r="A276" s="147" t="s">
        <v>1083</v>
      </c>
      <c r="B276" s="163">
        <v>24000.0</v>
      </c>
      <c r="C276" s="105">
        <f t="shared" si="15"/>
        <v>26400</v>
      </c>
    </row>
    <row r="277">
      <c r="A277" s="147" t="s">
        <v>1084</v>
      </c>
      <c r="B277" s="163">
        <v>24000.0</v>
      </c>
      <c r="C277" s="105">
        <f t="shared" si="15"/>
        <v>26400</v>
      </c>
    </row>
    <row r="278">
      <c r="A278" s="147" t="s">
        <v>1085</v>
      </c>
      <c r="B278" s="163">
        <v>24000.0</v>
      </c>
      <c r="C278" s="105">
        <f t="shared" si="15"/>
        <v>26400</v>
      </c>
    </row>
    <row r="279">
      <c r="A279" s="147" t="s">
        <v>1086</v>
      </c>
      <c r="B279" s="163">
        <v>25000.0</v>
      </c>
      <c r="C279" s="105">
        <f t="shared" si="15"/>
        <v>27500</v>
      </c>
      <c r="G279" s="38"/>
      <c r="K279" s="38"/>
    </row>
    <row r="280">
      <c r="A280" s="147" t="s">
        <v>1087</v>
      </c>
      <c r="B280" s="163">
        <v>29000.0</v>
      </c>
      <c r="C280" s="105">
        <f t="shared" si="15"/>
        <v>31900</v>
      </c>
      <c r="G280" s="38"/>
      <c r="K280" s="38"/>
    </row>
    <row r="281">
      <c r="A281" s="147" t="s">
        <v>1088</v>
      </c>
      <c r="B281" s="163">
        <v>27300.0</v>
      </c>
      <c r="C281" s="105">
        <f t="shared" si="15"/>
        <v>30030</v>
      </c>
      <c r="G281" s="38"/>
      <c r="K281" s="38"/>
    </row>
    <row r="282">
      <c r="A282" s="147" t="s">
        <v>1089</v>
      </c>
      <c r="B282" s="163">
        <v>28000.0</v>
      </c>
      <c r="C282" s="105">
        <f t="shared" si="15"/>
        <v>30800</v>
      </c>
      <c r="G282" s="38"/>
      <c r="K282" s="38"/>
    </row>
    <row r="283">
      <c r="A283" s="147" t="s">
        <v>1090</v>
      </c>
      <c r="B283" s="163">
        <v>28000.0</v>
      </c>
      <c r="C283" s="105">
        <f t="shared" si="15"/>
        <v>30800</v>
      </c>
      <c r="G283" s="38"/>
      <c r="K283" s="38"/>
    </row>
    <row r="284">
      <c r="A284" s="147" t="s">
        <v>1091</v>
      </c>
      <c r="B284" s="163">
        <v>28000.0</v>
      </c>
      <c r="C284" s="105">
        <f t="shared" si="15"/>
        <v>30800</v>
      </c>
      <c r="G284" s="38"/>
      <c r="K284" s="38"/>
    </row>
    <row r="285">
      <c r="A285" s="147" t="s">
        <v>1092</v>
      </c>
      <c r="B285" s="163">
        <v>28000.0</v>
      </c>
      <c r="C285" s="105">
        <f t="shared" si="15"/>
        <v>30800</v>
      </c>
    </row>
    <row r="286">
      <c r="A286" s="103" t="s">
        <v>1093</v>
      </c>
      <c r="B286" s="163">
        <v>35000.0</v>
      </c>
      <c r="C286" s="105">
        <f t="shared" si="15"/>
        <v>38500</v>
      </c>
    </row>
    <row r="287">
      <c r="A287" s="147" t="s">
        <v>1094</v>
      </c>
      <c r="B287" s="163">
        <v>35000.0</v>
      </c>
      <c r="C287" s="176">
        <v>38500.0</v>
      </c>
    </row>
    <row r="288">
      <c r="A288" s="147" t="s">
        <v>1095</v>
      </c>
      <c r="B288" s="163">
        <v>29000.0</v>
      </c>
      <c r="C288" s="105">
        <f t="shared" ref="C288:C296" si="16">(B288*1.1)</f>
        <v>31900</v>
      </c>
    </row>
    <row r="289">
      <c r="A289" s="147" t="s">
        <v>1096</v>
      </c>
      <c r="B289" s="163">
        <v>32600.0</v>
      </c>
      <c r="C289" s="105">
        <f t="shared" si="16"/>
        <v>35860</v>
      </c>
      <c r="G289" s="38"/>
    </row>
    <row r="290">
      <c r="A290" s="147" t="s">
        <v>1097</v>
      </c>
      <c r="B290" s="163">
        <v>27000.0</v>
      </c>
      <c r="C290" s="105">
        <f t="shared" si="16"/>
        <v>29700</v>
      </c>
      <c r="G290" s="38"/>
    </row>
    <row r="291">
      <c r="A291" s="147" t="s">
        <v>1098</v>
      </c>
      <c r="B291" s="163">
        <v>27300.0</v>
      </c>
      <c r="C291" s="105">
        <f t="shared" si="16"/>
        <v>30030</v>
      </c>
      <c r="G291" s="38"/>
      <c r="K291" s="38"/>
    </row>
    <row r="292">
      <c r="A292" s="147" t="s">
        <v>1099</v>
      </c>
      <c r="B292" s="163">
        <v>27700.0</v>
      </c>
      <c r="C292" s="105">
        <f t="shared" si="16"/>
        <v>30470</v>
      </c>
      <c r="G292" s="38"/>
      <c r="K292" s="38"/>
    </row>
    <row r="293">
      <c r="A293" s="147" t="s">
        <v>1100</v>
      </c>
      <c r="B293" s="163">
        <v>28000.0</v>
      </c>
      <c r="C293" s="105">
        <f t="shared" si="16"/>
        <v>30800</v>
      </c>
      <c r="K293" s="38"/>
    </row>
    <row r="294">
      <c r="A294" s="147" t="s">
        <v>1101</v>
      </c>
      <c r="B294" s="163">
        <v>28000.0</v>
      </c>
      <c r="C294" s="105">
        <f t="shared" si="16"/>
        <v>30800</v>
      </c>
    </row>
    <row r="295">
      <c r="A295" s="147" t="s">
        <v>1102</v>
      </c>
      <c r="B295" s="163">
        <v>31000.0</v>
      </c>
      <c r="C295" s="105">
        <f t="shared" si="16"/>
        <v>34100</v>
      </c>
    </row>
    <row r="296">
      <c r="A296" s="147" t="s">
        <v>1103</v>
      </c>
      <c r="B296" s="163">
        <v>31000.0</v>
      </c>
      <c r="C296" s="105">
        <f t="shared" si="16"/>
        <v>34100</v>
      </c>
      <c r="I296" s="184"/>
    </row>
    <row r="297">
      <c r="A297" s="38"/>
      <c r="B297" s="38"/>
      <c r="C297" s="105"/>
    </row>
    <row r="298">
      <c r="A298" s="167" t="s">
        <v>1104</v>
      </c>
      <c r="B298" s="163" t="s">
        <v>824</v>
      </c>
      <c r="C298" s="176" t="s">
        <v>6</v>
      </c>
    </row>
    <row r="299">
      <c r="A299" s="147" t="s">
        <v>1105</v>
      </c>
      <c r="B299" s="161"/>
      <c r="C299" s="105"/>
      <c r="D299" s="38"/>
      <c r="E299" s="38"/>
    </row>
    <row r="300">
      <c r="A300" s="147" t="s">
        <v>1106</v>
      </c>
      <c r="B300" s="163">
        <v>25400.0</v>
      </c>
      <c r="C300" s="105">
        <f t="shared" ref="C300:C310" si="17">(B300*1.1)</f>
        <v>27940</v>
      </c>
      <c r="D300" s="38"/>
      <c r="E300" s="38"/>
    </row>
    <row r="301">
      <c r="A301" s="147" t="s">
        <v>1107</v>
      </c>
      <c r="B301" s="163">
        <v>25500.0</v>
      </c>
      <c r="C301" s="105">
        <f t="shared" si="17"/>
        <v>28050</v>
      </c>
      <c r="D301" s="38"/>
      <c r="E301" s="38"/>
    </row>
    <row r="302">
      <c r="A302" s="103" t="s">
        <v>1108</v>
      </c>
      <c r="B302" s="163">
        <v>27700.0</v>
      </c>
      <c r="C302" s="105">
        <f t="shared" si="17"/>
        <v>30470</v>
      </c>
      <c r="D302" s="38"/>
      <c r="E302" s="38"/>
    </row>
    <row r="303">
      <c r="A303" s="147" t="s">
        <v>1109</v>
      </c>
      <c r="B303" s="163">
        <v>27700.0</v>
      </c>
      <c r="C303" s="105">
        <f t="shared" si="17"/>
        <v>30470</v>
      </c>
    </row>
    <row r="304">
      <c r="A304" s="147" t="s">
        <v>1110</v>
      </c>
      <c r="B304" s="163">
        <v>25000.0</v>
      </c>
      <c r="C304" s="105">
        <f t="shared" si="17"/>
        <v>27500</v>
      </c>
      <c r="D304" s="38"/>
      <c r="E304" s="38"/>
    </row>
    <row r="305">
      <c r="A305" s="103" t="s">
        <v>1111</v>
      </c>
      <c r="B305" s="163">
        <v>25400.0</v>
      </c>
      <c r="C305" s="105">
        <f t="shared" si="17"/>
        <v>27940</v>
      </c>
    </row>
    <row r="306">
      <c r="A306" s="147" t="s">
        <v>1112</v>
      </c>
      <c r="B306" s="163">
        <v>25400.0</v>
      </c>
      <c r="C306" s="105">
        <f t="shared" si="17"/>
        <v>27940</v>
      </c>
      <c r="D306" s="38"/>
      <c r="E306" s="38"/>
    </row>
    <row r="307">
      <c r="A307" s="143" t="s">
        <v>1113</v>
      </c>
      <c r="B307" s="163">
        <v>25400.0</v>
      </c>
      <c r="C307" s="105">
        <f t="shared" si="17"/>
        <v>27940</v>
      </c>
      <c r="D307" s="185"/>
      <c r="E307" s="38"/>
    </row>
    <row r="308">
      <c r="A308" s="147" t="s">
        <v>1114</v>
      </c>
      <c r="B308" s="163">
        <v>25400.0</v>
      </c>
      <c r="C308" s="105">
        <f t="shared" si="17"/>
        <v>27940</v>
      </c>
      <c r="D308" s="185"/>
      <c r="E308" s="38"/>
    </row>
    <row r="309">
      <c r="A309" s="143" t="s">
        <v>1115</v>
      </c>
      <c r="B309" s="163">
        <v>25400.0</v>
      </c>
      <c r="C309" s="105">
        <f t="shared" si="17"/>
        <v>27940</v>
      </c>
      <c r="D309" s="38"/>
      <c r="E309" s="38"/>
    </row>
    <row r="310">
      <c r="A310" s="147" t="s">
        <v>1116</v>
      </c>
      <c r="B310" s="163">
        <v>25400.0</v>
      </c>
      <c r="C310" s="105">
        <f t="shared" si="17"/>
        <v>27940</v>
      </c>
      <c r="D310" s="38"/>
      <c r="E310" s="38"/>
    </row>
    <row r="311">
      <c r="A311" s="143" t="s">
        <v>1117</v>
      </c>
      <c r="B311" s="163">
        <v>27300.0</v>
      </c>
      <c r="C311" s="105"/>
      <c r="D311" s="38"/>
      <c r="E311" s="38"/>
    </row>
    <row r="312">
      <c r="A312" s="103" t="s">
        <v>1118</v>
      </c>
      <c r="B312" s="161"/>
      <c r="C312" s="105"/>
      <c r="D312" s="38"/>
      <c r="E312" s="38"/>
    </row>
    <row r="313">
      <c r="A313" s="143" t="s">
        <v>1119</v>
      </c>
      <c r="B313" s="163">
        <v>27300.0</v>
      </c>
      <c r="C313" s="105">
        <f t="shared" ref="C313:C317" si="18">(B313*1.1)</f>
        <v>30030</v>
      </c>
      <c r="D313" s="38"/>
      <c r="E313" s="38"/>
    </row>
    <row r="314">
      <c r="A314" s="147" t="s">
        <v>1120</v>
      </c>
      <c r="B314" s="163">
        <v>22300.0</v>
      </c>
      <c r="C314" s="105">
        <f t="shared" si="18"/>
        <v>24530</v>
      </c>
      <c r="D314" s="38"/>
      <c r="E314" s="38"/>
    </row>
    <row r="315">
      <c r="A315" s="147" t="s">
        <v>1121</v>
      </c>
      <c r="B315" s="163">
        <v>25500.0</v>
      </c>
      <c r="C315" s="105">
        <f t="shared" si="18"/>
        <v>28050</v>
      </c>
      <c r="D315" s="38"/>
      <c r="E315" s="38"/>
    </row>
    <row r="316">
      <c r="A316" s="147" t="s">
        <v>1122</v>
      </c>
      <c r="B316" s="163">
        <v>25000.0</v>
      </c>
      <c r="C316" s="105">
        <f t="shared" si="18"/>
        <v>27500</v>
      </c>
    </row>
    <row r="317">
      <c r="A317" s="103" t="s">
        <v>1123</v>
      </c>
      <c r="B317" s="163">
        <v>25000.0</v>
      </c>
      <c r="C317" s="105">
        <f t="shared" si="18"/>
        <v>27500</v>
      </c>
      <c r="D317" s="38"/>
      <c r="E317" s="38"/>
    </row>
    <row r="318">
      <c r="A318" s="147" t="s">
        <v>1124</v>
      </c>
      <c r="B318" s="161"/>
      <c r="C318" s="105"/>
      <c r="D318" s="38"/>
      <c r="E318" s="38"/>
    </row>
    <row r="319">
      <c r="A319" s="147" t="s">
        <v>1125</v>
      </c>
      <c r="B319" s="161"/>
      <c r="C319" s="105"/>
      <c r="D319" s="38"/>
      <c r="E319" s="38"/>
    </row>
    <row r="320">
      <c r="A320" s="147" t="s">
        <v>1126</v>
      </c>
      <c r="B320" s="161"/>
      <c r="C320" s="105"/>
      <c r="D320" s="38"/>
      <c r="E320" s="38"/>
    </row>
    <row r="321">
      <c r="D321" s="38"/>
      <c r="E321" s="38"/>
    </row>
    <row r="322">
      <c r="A322" s="186" t="s">
        <v>1127</v>
      </c>
      <c r="B322" s="187" t="s">
        <v>824</v>
      </c>
      <c r="C322" s="123" t="s">
        <v>6</v>
      </c>
      <c r="D322" s="38"/>
      <c r="E322" s="38"/>
    </row>
    <row r="323">
      <c r="A323" s="147" t="s">
        <v>1128</v>
      </c>
      <c r="B323" s="163">
        <v>21000.0</v>
      </c>
      <c r="C323" s="188">
        <f t="shared" ref="C323:C329" si="19">(B323*1.1)</f>
        <v>23100</v>
      </c>
      <c r="D323" s="38"/>
      <c r="E323" s="38"/>
    </row>
    <row r="324">
      <c r="A324" s="147" t="s">
        <v>538</v>
      </c>
      <c r="B324" s="163">
        <v>21000.0</v>
      </c>
      <c r="C324" s="188">
        <f t="shared" si="19"/>
        <v>23100</v>
      </c>
      <c r="D324" s="38"/>
      <c r="E324" s="38"/>
    </row>
    <row r="325">
      <c r="A325" s="147" t="s">
        <v>1129</v>
      </c>
      <c r="B325" s="163">
        <v>21600.0</v>
      </c>
      <c r="C325" s="188">
        <f t="shared" si="19"/>
        <v>23760</v>
      </c>
      <c r="D325" s="38"/>
    </row>
    <row r="326">
      <c r="A326" s="147" t="s">
        <v>1130</v>
      </c>
      <c r="B326" s="163">
        <v>25800.0</v>
      </c>
      <c r="C326" s="188">
        <f t="shared" si="19"/>
        <v>28380</v>
      </c>
      <c r="D326" s="38"/>
    </row>
    <row r="327">
      <c r="A327" s="147" t="s">
        <v>1131</v>
      </c>
      <c r="B327" s="163">
        <v>19700.0</v>
      </c>
      <c r="C327" s="188">
        <f t="shared" si="19"/>
        <v>21670</v>
      </c>
      <c r="D327" s="38"/>
    </row>
    <row r="328">
      <c r="A328" s="147" t="s">
        <v>1132</v>
      </c>
      <c r="B328" s="163">
        <v>20200.0</v>
      </c>
      <c r="C328" s="188">
        <f t="shared" si="19"/>
        <v>22220</v>
      </c>
      <c r="D328" s="38"/>
    </row>
    <row r="329">
      <c r="A329" s="147" t="s">
        <v>1133</v>
      </c>
      <c r="B329" s="163">
        <v>28700.0</v>
      </c>
      <c r="C329" s="188">
        <f t="shared" si="19"/>
        <v>31570</v>
      </c>
      <c r="D329" s="38"/>
    </row>
    <row r="330">
      <c r="A330" s="147"/>
      <c r="B330" s="172"/>
      <c r="C330" s="10"/>
    </row>
    <row r="331">
      <c r="A331" s="38"/>
      <c r="B331" s="38"/>
    </row>
    <row r="332">
      <c r="A332" s="189" t="s">
        <v>555</v>
      </c>
      <c r="B332" s="187" t="s">
        <v>824</v>
      </c>
      <c r="C332" s="123" t="s">
        <v>6</v>
      </c>
    </row>
    <row r="333">
      <c r="A333" s="147" t="s">
        <v>1134</v>
      </c>
      <c r="B333" s="163">
        <v>19700.0</v>
      </c>
      <c r="C333" s="188">
        <f t="shared" ref="C333:C341" si="20">(B333*1.1)</f>
        <v>21670</v>
      </c>
    </row>
    <row r="334">
      <c r="A334" s="147" t="s">
        <v>1135</v>
      </c>
      <c r="B334" s="163">
        <v>19700.0</v>
      </c>
      <c r="C334" s="188">
        <f t="shared" si="20"/>
        <v>21670</v>
      </c>
    </row>
    <row r="335">
      <c r="A335" s="147" t="s">
        <v>1136</v>
      </c>
      <c r="B335" s="163">
        <v>20200.0</v>
      </c>
      <c r="C335" s="188">
        <f t="shared" si="20"/>
        <v>22220</v>
      </c>
    </row>
    <row r="336">
      <c r="A336" s="147" t="s">
        <v>1137</v>
      </c>
      <c r="B336" s="163">
        <v>27700.0</v>
      </c>
      <c r="C336" s="188">
        <f t="shared" si="20"/>
        <v>30470</v>
      </c>
    </row>
    <row r="337">
      <c r="A337" s="147" t="s">
        <v>1138</v>
      </c>
      <c r="B337" s="163">
        <v>27700.0</v>
      </c>
      <c r="C337" s="188">
        <f t="shared" si="20"/>
        <v>30470</v>
      </c>
    </row>
    <row r="338">
      <c r="A338" s="147" t="s">
        <v>1139</v>
      </c>
      <c r="B338" s="163">
        <v>27700.0</v>
      </c>
      <c r="C338" s="188">
        <f t="shared" si="20"/>
        <v>30470</v>
      </c>
    </row>
    <row r="339">
      <c r="A339" s="147" t="s">
        <v>1140</v>
      </c>
      <c r="B339" s="163">
        <v>27700.0</v>
      </c>
      <c r="C339" s="188">
        <f t="shared" si="20"/>
        <v>30470</v>
      </c>
    </row>
    <row r="340">
      <c r="A340" s="147" t="s">
        <v>1141</v>
      </c>
      <c r="B340" s="163">
        <v>27700.0</v>
      </c>
      <c r="C340" s="188">
        <f t="shared" si="20"/>
        <v>30470</v>
      </c>
    </row>
    <row r="341">
      <c r="A341" s="147" t="s">
        <v>1142</v>
      </c>
      <c r="B341" s="163">
        <v>21800.0</v>
      </c>
      <c r="C341" s="188">
        <f t="shared" si="20"/>
        <v>23980</v>
      </c>
    </row>
    <row r="342">
      <c r="B342" s="38"/>
    </row>
    <row r="343">
      <c r="A343" s="172" t="s">
        <v>571</v>
      </c>
      <c r="B343" s="163" t="s">
        <v>824</v>
      </c>
      <c r="C343" s="123" t="s">
        <v>6</v>
      </c>
    </row>
    <row r="344">
      <c r="A344" s="147" t="s">
        <v>1143</v>
      </c>
      <c r="B344" s="163">
        <v>20200.0</v>
      </c>
      <c r="C344" s="190">
        <f t="shared" ref="C344:C356" si="21">(B344*1.1)</f>
        <v>22220</v>
      </c>
    </row>
    <row r="345">
      <c r="A345" s="147" t="s">
        <v>1144</v>
      </c>
      <c r="B345" s="163">
        <v>20600.0</v>
      </c>
      <c r="C345" s="190">
        <f t="shared" si="21"/>
        <v>22660</v>
      </c>
      <c r="D345" s="38"/>
    </row>
    <row r="346">
      <c r="A346" s="147" t="s">
        <v>1145</v>
      </c>
      <c r="B346" s="163">
        <v>28100.0</v>
      </c>
      <c r="C346" s="190">
        <f t="shared" si="21"/>
        <v>30910</v>
      </c>
      <c r="D346" s="38"/>
    </row>
    <row r="347">
      <c r="A347" s="147" t="s">
        <v>1146</v>
      </c>
      <c r="B347" s="163">
        <v>28600.0</v>
      </c>
      <c r="C347" s="190">
        <f t="shared" si="21"/>
        <v>31460</v>
      </c>
      <c r="D347" s="38"/>
    </row>
    <row r="348">
      <c r="A348" s="147" t="s">
        <v>1147</v>
      </c>
      <c r="B348" s="163">
        <v>29200.0</v>
      </c>
      <c r="C348" s="190">
        <f t="shared" si="21"/>
        <v>32120</v>
      </c>
      <c r="D348" s="38"/>
    </row>
    <row r="349">
      <c r="A349" s="147" t="s">
        <v>1148</v>
      </c>
      <c r="B349" s="163">
        <v>18700.0</v>
      </c>
      <c r="C349" s="190">
        <f t="shared" si="21"/>
        <v>20570</v>
      </c>
      <c r="D349" s="38"/>
    </row>
    <row r="350">
      <c r="A350" s="147" t="s">
        <v>1149</v>
      </c>
      <c r="B350" s="187">
        <v>18700.0</v>
      </c>
      <c r="C350" s="190">
        <f t="shared" si="21"/>
        <v>20570</v>
      </c>
      <c r="D350" s="38"/>
    </row>
    <row r="351">
      <c r="A351" s="147" t="s">
        <v>1150</v>
      </c>
      <c r="B351" s="163">
        <v>18700.0</v>
      </c>
      <c r="C351" s="190">
        <f t="shared" si="21"/>
        <v>20570</v>
      </c>
      <c r="D351" s="38"/>
    </row>
    <row r="352">
      <c r="A352" s="147" t="s">
        <v>1151</v>
      </c>
      <c r="B352" s="163">
        <v>18700.0</v>
      </c>
      <c r="C352" s="190">
        <f t="shared" si="21"/>
        <v>20570</v>
      </c>
      <c r="D352" s="38"/>
    </row>
    <row r="353">
      <c r="A353" s="147" t="s">
        <v>1152</v>
      </c>
      <c r="B353" s="187">
        <v>18700.0</v>
      </c>
      <c r="C353" s="190">
        <f t="shared" si="21"/>
        <v>20570</v>
      </c>
      <c r="D353" s="38"/>
    </row>
    <row r="354">
      <c r="A354" s="147" t="s">
        <v>1153</v>
      </c>
      <c r="B354" s="187">
        <v>18700.0</v>
      </c>
      <c r="C354" s="190">
        <f t="shared" si="21"/>
        <v>20570</v>
      </c>
      <c r="D354" s="38"/>
    </row>
    <row r="355">
      <c r="A355" s="147" t="s">
        <v>1154</v>
      </c>
      <c r="B355" s="187">
        <v>18700.0</v>
      </c>
      <c r="C355" s="190">
        <f t="shared" si="21"/>
        <v>20570</v>
      </c>
      <c r="D355" s="38"/>
    </row>
    <row r="356">
      <c r="A356" s="147" t="s">
        <v>1155</v>
      </c>
      <c r="B356" s="187">
        <v>19700.0</v>
      </c>
      <c r="C356" s="190">
        <f t="shared" si="21"/>
        <v>21670</v>
      </c>
      <c r="D356" s="38"/>
    </row>
    <row r="357">
      <c r="B357" s="114"/>
      <c r="C357" s="114"/>
      <c r="D357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7.88"/>
    <col customWidth="1" min="3" max="3" width="17.75"/>
  </cols>
  <sheetData>
    <row r="2">
      <c r="A2" s="191" t="s">
        <v>1156</v>
      </c>
    </row>
    <row r="4">
      <c r="A4" s="14" t="s">
        <v>1157</v>
      </c>
      <c r="B4" s="192" t="s">
        <v>145</v>
      </c>
      <c r="C4" s="193" t="s">
        <v>6</v>
      </c>
    </row>
    <row r="5">
      <c r="A5" s="28" t="s">
        <v>1158</v>
      </c>
      <c r="B5" s="192">
        <v>19500.0</v>
      </c>
      <c r="C5" s="194">
        <f t="shared" ref="C5:C24" si="1">(B5*1.1)</f>
        <v>21450</v>
      </c>
      <c r="D5" s="40"/>
      <c r="E5" s="155"/>
    </row>
    <row r="6">
      <c r="A6" s="28" t="s">
        <v>1159</v>
      </c>
      <c r="B6" s="192">
        <v>25000.0</v>
      </c>
      <c r="C6" s="194">
        <f t="shared" si="1"/>
        <v>27500</v>
      </c>
      <c r="D6" s="40"/>
      <c r="E6" s="155"/>
    </row>
    <row r="7">
      <c r="A7" s="28" t="s">
        <v>1160</v>
      </c>
      <c r="B7" s="192">
        <v>30500.0</v>
      </c>
      <c r="C7" s="194">
        <f t="shared" si="1"/>
        <v>33550</v>
      </c>
      <c r="D7" s="40"/>
      <c r="E7" s="155"/>
    </row>
    <row r="8">
      <c r="A8" s="28" t="s">
        <v>1161</v>
      </c>
      <c r="B8" s="192">
        <v>30500.0</v>
      </c>
      <c r="C8" s="194">
        <f t="shared" si="1"/>
        <v>33550</v>
      </c>
      <c r="D8" s="40"/>
      <c r="E8" s="155"/>
    </row>
    <row r="9">
      <c r="A9" s="28" t="s">
        <v>1162</v>
      </c>
      <c r="B9" s="192">
        <v>30500.0</v>
      </c>
      <c r="C9" s="194">
        <f t="shared" si="1"/>
        <v>33550</v>
      </c>
      <c r="D9" s="40"/>
      <c r="E9" s="155"/>
    </row>
    <row r="10">
      <c r="A10" s="28" t="s">
        <v>1163</v>
      </c>
      <c r="B10" s="192">
        <v>33000.0</v>
      </c>
      <c r="C10" s="194">
        <f t="shared" si="1"/>
        <v>36300</v>
      </c>
      <c r="D10" s="40"/>
      <c r="E10" s="155"/>
    </row>
    <row r="11">
      <c r="A11" s="28" t="s">
        <v>1164</v>
      </c>
      <c r="B11" s="192">
        <v>35000.0</v>
      </c>
      <c r="C11" s="194">
        <f t="shared" si="1"/>
        <v>38500</v>
      </c>
      <c r="D11" s="40"/>
      <c r="E11" s="155"/>
    </row>
    <row r="12">
      <c r="A12" s="28" t="s">
        <v>1165</v>
      </c>
      <c r="B12" s="192">
        <v>38000.0</v>
      </c>
      <c r="C12" s="194">
        <f t="shared" si="1"/>
        <v>41800</v>
      </c>
      <c r="D12" s="40"/>
      <c r="E12" s="155"/>
    </row>
    <row r="13">
      <c r="A13" s="28" t="s">
        <v>1166</v>
      </c>
      <c r="B13" s="192">
        <v>40000.0</v>
      </c>
      <c r="C13" s="194">
        <f t="shared" si="1"/>
        <v>44000</v>
      </c>
      <c r="D13" s="40"/>
      <c r="E13" s="155"/>
    </row>
    <row r="14">
      <c r="A14" s="28" t="s">
        <v>1167</v>
      </c>
      <c r="B14" s="192">
        <v>45000.0</v>
      </c>
      <c r="C14" s="194">
        <f t="shared" si="1"/>
        <v>49500</v>
      </c>
      <c r="D14" s="40"/>
      <c r="E14" s="155"/>
    </row>
    <row r="15">
      <c r="A15" s="28" t="s">
        <v>1168</v>
      </c>
      <c r="B15" s="192">
        <v>48000.0</v>
      </c>
      <c r="C15" s="194">
        <f t="shared" si="1"/>
        <v>52800</v>
      </c>
      <c r="D15" s="40"/>
      <c r="E15" s="155"/>
    </row>
    <row r="16">
      <c r="A16" s="28" t="s">
        <v>1169</v>
      </c>
      <c r="B16" s="192">
        <v>45000.0</v>
      </c>
      <c r="C16" s="194">
        <f t="shared" si="1"/>
        <v>49500</v>
      </c>
      <c r="D16" s="40"/>
      <c r="E16" s="155"/>
    </row>
    <row r="17">
      <c r="A17" s="28" t="s">
        <v>1170</v>
      </c>
      <c r="B17" s="192">
        <v>45000.0</v>
      </c>
      <c r="C17" s="194">
        <f t="shared" si="1"/>
        <v>49500</v>
      </c>
      <c r="D17" s="40"/>
      <c r="E17" s="155"/>
    </row>
    <row r="18">
      <c r="A18" s="28" t="s">
        <v>1171</v>
      </c>
      <c r="B18" s="192">
        <v>48000.0</v>
      </c>
      <c r="C18" s="194">
        <f t="shared" si="1"/>
        <v>52800</v>
      </c>
      <c r="D18" s="40"/>
      <c r="E18" s="155"/>
    </row>
    <row r="19">
      <c r="A19" s="28" t="s">
        <v>1172</v>
      </c>
      <c r="B19" s="192">
        <v>52000.0</v>
      </c>
      <c r="C19" s="194">
        <f t="shared" si="1"/>
        <v>57200</v>
      </c>
      <c r="D19" s="40"/>
      <c r="E19" s="155"/>
    </row>
    <row r="20">
      <c r="A20" s="28" t="s">
        <v>1173</v>
      </c>
      <c r="B20" s="192">
        <v>55000.0</v>
      </c>
      <c r="C20" s="194">
        <f t="shared" si="1"/>
        <v>60500</v>
      </c>
      <c r="D20" s="40"/>
      <c r="E20" s="155"/>
    </row>
    <row r="21">
      <c r="A21" s="28" t="s">
        <v>1174</v>
      </c>
      <c r="B21" s="192">
        <v>55000.0</v>
      </c>
      <c r="C21" s="194">
        <f t="shared" si="1"/>
        <v>60500</v>
      </c>
      <c r="D21" s="40"/>
      <c r="E21" s="155"/>
    </row>
    <row r="22">
      <c r="A22" s="28" t="s">
        <v>1175</v>
      </c>
      <c r="B22" s="192">
        <v>58000.0</v>
      </c>
      <c r="C22" s="194">
        <f t="shared" si="1"/>
        <v>63800</v>
      </c>
      <c r="D22" s="40"/>
      <c r="E22" s="155"/>
    </row>
    <row r="23">
      <c r="A23" s="28" t="s">
        <v>1176</v>
      </c>
      <c r="B23" s="192">
        <v>62000.0</v>
      </c>
      <c r="C23" s="194">
        <f t="shared" si="1"/>
        <v>68200</v>
      </c>
      <c r="D23" s="40"/>
      <c r="E23" s="155"/>
    </row>
    <row r="24">
      <c r="A24" s="28" t="s">
        <v>1177</v>
      </c>
      <c r="B24" s="192">
        <v>62000.0</v>
      </c>
      <c r="C24" s="194">
        <f t="shared" si="1"/>
        <v>68200</v>
      </c>
      <c r="D24" s="40"/>
      <c r="E24" s="1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8.38"/>
    <col customWidth="1" min="3" max="3" width="27.63"/>
    <col customWidth="1" min="4" max="4" width="19.25"/>
    <col customWidth="1" min="5" max="5" width="22.63"/>
  </cols>
  <sheetData>
    <row r="1" ht="22.5" customHeight="1">
      <c r="A1" s="195" t="s">
        <v>1178</v>
      </c>
      <c r="B1" s="195" t="s">
        <v>1179</v>
      </c>
      <c r="C1" s="195" t="s">
        <v>1180</v>
      </c>
      <c r="D1" s="195" t="s">
        <v>1181</v>
      </c>
      <c r="E1" s="195" t="s">
        <v>624</v>
      </c>
    </row>
    <row r="2" ht="22.5" customHeight="1">
      <c r="A2" s="196" t="s">
        <v>622</v>
      </c>
      <c r="B2" s="197" t="s">
        <v>1182</v>
      </c>
      <c r="C2" s="198" t="s">
        <v>1183</v>
      </c>
      <c r="D2" s="199">
        <v>56500.0</v>
      </c>
      <c r="E2" s="200">
        <f t="shared" ref="E2:E289" si="1">D2*1.15</f>
        <v>64975</v>
      </c>
    </row>
    <row r="3" ht="22.5" customHeight="1">
      <c r="A3" s="201"/>
      <c r="B3" s="202"/>
      <c r="C3" s="198" t="s">
        <v>1184</v>
      </c>
      <c r="D3" s="199">
        <v>55000.0</v>
      </c>
      <c r="E3" s="200">
        <f t="shared" si="1"/>
        <v>63250</v>
      </c>
    </row>
    <row r="4" ht="22.5" customHeight="1">
      <c r="A4" s="201"/>
      <c r="B4" s="203"/>
      <c r="C4" s="198" t="s">
        <v>1185</v>
      </c>
      <c r="D4" s="199">
        <v>45000.0</v>
      </c>
      <c r="E4" s="200">
        <f t="shared" si="1"/>
        <v>51750</v>
      </c>
    </row>
    <row r="5" ht="22.5" customHeight="1">
      <c r="A5" s="201"/>
      <c r="B5" s="203"/>
      <c r="C5" s="198" t="s">
        <v>1186</v>
      </c>
      <c r="D5" s="199">
        <v>30000.0</v>
      </c>
      <c r="E5" s="200">
        <f t="shared" si="1"/>
        <v>34500</v>
      </c>
    </row>
    <row r="6" ht="22.5" customHeight="1">
      <c r="A6" s="196" t="s">
        <v>622</v>
      </c>
      <c r="B6" s="204" t="s">
        <v>1187</v>
      </c>
      <c r="C6" s="198" t="s">
        <v>1183</v>
      </c>
      <c r="D6" s="199">
        <v>57000.0</v>
      </c>
      <c r="E6" s="200">
        <f t="shared" si="1"/>
        <v>65550</v>
      </c>
    </row>
    <row r="7" ht="22.5" customHeight="1">
      <c r="A7" s="201"/>
      <c r="B7" s="203"/>
      <c r="C7" s="198" t="s">
        <v>1184</v>
      </c>
      <c r="D7" s="199">
        <v>55000.0</v>
      </c>
      <c r="E7" s="200">
        <f t="shared" si="1"/>
        <v>63250</v>
      </c>
    </row>
    <row r="8" ht="22.5" customHeight="1">
      <c r="A8" s="201"/>
      <c r="B8" s="203"/>
      <c r="C8" s="198" t="s">
        <v>1185</v>
      </c>
      <c r="D8" s="199">
        <v>45000.0</v>
      </c>
      <c r="E8" s="200">
        <f t="shared" si="1"/>
        <v>51750</v>
      </c>
    </row>
    <row r="9" ht="22.5" customHeight="1">
      <c r="A9" s="201"/>
      <c r="B9" s="203"/>
      <c r="C9" s="198" t="s">
        <v>1186</v>
      </c>
      <c r="D9" s="199">
        <v>30000.0</v>
      </c>
      <c r="E9" s="200">
        <f t="shared" si="1"/>
        <v>34500</v>
      </c>
    </row>
    <row r="10" ht="22.5" customHeight="1">
      <c r="A10" s="196" t="s">
        <v>622</v>
      </c>
      <c r="B10" s="204" t="s">
        <v>1188</v>
      </c>
      <c r="C10" s="198" t="s">
        <v>1183</v>
      </c>
      <c r="D10" s="199">
        <v>57500.0</v>
      </c>
      <c r="E10" s="200">
        <f t="shared" si="1"/>
        <v>66125</v>
      </c>
    </row>
    <row r="11" ht="22.5" customHeight="1">
      <c r="A11" s="201"/>
      <c r="B11" s="203"/>
      <c r="C11" s="198" t="s">
        <v>1184</v>
      </c>
      <c r="D11" s="199">
        <v>55500.0</v>
      </c>
      <c r="E11" s="200">
        <f t="shared" si="1"/>
        <v>63825</v>
      </c>
    </row>
    <row r="12" ht="22.5" customHeight="1">
      <c r="A12" s="201"/>
      <c r="B12" s="203"/>
      <c r="C12" s="198" t="s">
        <v>1185</v>
      </c>
      <c r="D12" s="199">
        <v>45000.0</v>
      </c>
      <c r="E12" s="200">
        <f t="shared" si="1"/>
        <v>51750</v>
      </c>
    </row>
    <row r="13" ht="22.5" customHeight="1">
      <c r="A13" s="201"/>
      <c r="B13" s="203"/>
      <c r="C13" s="198" t="s">
        <v>1186</v>
      </c>
      <c r="D13" s="199">
        <v>35000.0</v>
      </c>
      <c r="E13" s="200">
        <f t="shared" si="1"/>
        <v>40250</v>
      </c>
    </row>
    <row r="14" ht="22.5" customHeight="1">
      <c r="A14" s="196" t="s">
        <v>622</v>
      </c>
      <c r="B14" s="204" t="s">
        <v>1189</v>
      </c>
      <c r="C14" s="198" t="s">
        <v>1183</v>
      </c>
      <c r="D14" s="199">
        <v>57500.0</v>
      </c>
      <c r="E14" s="200">
        <f t="shared" si="1"/>
        <v>66125</v>
      </c>
    </row>
    <row r="15" ht="22.5" customHeight="1">
      <c r="A15" s="201"/>
      <c r="B15" s="203"/>
      <c r="C15" s="198" t="s">
        <v>1184</v>
      </c>
      <c r="D15" s="199">
        <v>55500.0</v>
      </c>
      <c r="E15" s="200">
        <f t="shared" si="1"/>
        <v>63825</v>
      </c>
    </row>
    <row r="16" ht="22.5" customHeight="1">
      <c r="A16" s="201"/>
      <c r="B16" s="203"/>
      <c r="C16" s="198" t="s">
        <v>1185</v>
      </c>
      <c r="D16" s="199">
        <v>45000.0</v>
      </c>
      <c r="E16" s="200">
        <f t="shared" si="1"/>
        <v>51750</v>
      </c>
    </row>
    <row r="17" ht="22.5" customHeight="1">
      <c r="A17" s="201"/>
      <c r="B17" s="203"/>
      <c r="C17" s="198" t="s">
        <v>1186</v>
      </c>
      <c r="D17" s="199">
        <v>45000.0</v>
      </c>
      <c r="E17" s="200">
        <f t="shared" si="1"/>
        <v>51750</v>
      </c>
    </row>
    <row r="18" ht="22.5" customHeight="1">
      <c r="A18" s="196" t="s">
        <v>622</v>
      </c>
      <c r="B18" s="204" t="s">
        <v>1190</v>
      </c>
      <c r="C18" s="198" t="s">
        <v>1183</v>
      </c>
      <c r="D18" s="205"/>
      <c r="E18" s="200">
        <f t="shared" si="1"/>
        <v>0</v>
      </c>
    </row>
    <row r="19" ht="22.5" customHeight="1">
      <c r="A19" s="201"/>
      <c r="B19" s="203"/>
      <c r="C19" s="198" t="s">
        <v>1184</v>
      </c>
      <c r="D19" s="199">
        <v>55500.0</v>
      </c>
      <c r="E19" s="200">
        <f t="shared" si="1"/>
        <v>63825</v>
      </c>
    </row>
    <row r="20" ht="22.5" customHeight="1">
      <c r="A20" s="201"/>
      <c r="B20" s="203"/>
      <c r="C20" s="198" t="s">
        <v>1185</v>
      </c>
      <c r="D20" s="199">
        <v>45000.0</v>
      </c>
      <c r="E20" s="200">
        <f t="shared" si="1"/>
        <v>51750</v>
      </c>
    </row>
    <row r="21" ht="22.5" customHeight="1">
      <c r="A21" s="201"/>
      <c r="B21" s="203"/>
      <c r="C21" s="198" t="s">
        <v>1186</v>
      </c>
      <c r="D21" s="199">
        <v>35000.0</v>
      </c>
      <c r="E21" s="200">
        <f t="shared" si="1"/>
        <v>40250</v>
      </c>
    </row>
    <row r="22" ht="22.5" customHeight="1">
      <c r="A22" s="196" t="s">
        <v>622</v>
      </c>
      <c r="B22" s="204" t="s">
        <v>1191</v>
      </c>
      <c r="C22" s="198" t="s">
        <v>1183</v>
      </c>
      <c r="D22" s="199">
        <v>57500.0</v>
      </c>
      <c r="E22" s="200">
        <f t="shared" si="1"/>
        <v>66125</v>
      </c>
    </row>
    <row r="23" ht="22.5" customHeight="1">
      <c r="A23" s="201"/>
      <c r="B23" s="203"/>
      <c r="C23" s="198" t="s">
        <v>1184</v>
      </c>
      <c r="D23" s="199">
        <v>55500.0</v>
      </c>
      <c r="E23" s="200">
        <f t="shared" si="1"/>
        <v>63825</v>
      </c>
    </row>
    <row r="24" ht="22.5" customHeight="1">
      <c r="A24" s="201"/>
      <c r="B24" s="203"/>
      <c r="C24" s="198" t="s">
        <v>1185</v>
      </c>
      <c r="D24" s="199">
        <v>45000.0</v>
      </c>
      <c r="E24" s="200">
        <f t="shared" si="1"/>
        <v>51750</v>
      </c>
    </row>
    <row r="25" ht="22.5" customHeight="1">
      <c r="A25" s="201"/>
      <c r="B25" s="203"/>
      <c r="C25" s="198" t="s">
        <v>1186</v>
      </c>
      <c r="D25" s="199">
        <v>45000.0</v>
      </c>
      <c r="E25" s="200">
        <f t="shared" si="1"/>
        <v>51750</v>
      </c>
    </row>
    <row r="26" ht="22.5" customHeight="1">
      <c r="A26" s="196" t="s">
        <v>622</v>
      </c>
      <c r="B26" s="204" t="s">
        <v>1192</v>
      </c>
      <c r="C26" s="198" t="s">
        <v>1183</v>
      </c>
      <c r="D26" s="199">
        <v>57500.0</v>
      </c>
      <c r="E26" s="200">
        <f t="shared" si="1"/>
        <v>66125</v>
      </c>
    </row>
    <row r="27" ht="22.5" customHeight="1">
      <c r="A27" s="201"/>
      <c r="B27" s="203"/>
      <c r="C27" s="198" t="s">
        <v>1184</v>
      </c>
      <c r="D27" s="199">
        <v>55500.0</v>
      </c>
      <c r="E27" s="200">
        <f t="shared" si="1"/>
        <v>63825</v>
      </c>
    </row>
    <row r="28" ht="22.5" customHeight="1">
      <c r="A28" s="201"/>
      <c r="B28" s="203"/>
      <c r="C28" s="198" t="s">
        <v>1185</v>
      </c>
      <c r="D28" s="199">
        <v>45000.0</v>
      </c>
      <c r="E28" s="200">
        <f t="shared" si="1"/>
        <v>51750</v>
      </c>
    </row>
    <row r="29" ht="22.5" customHeight="1">
      <c r="A29" s="201"/>
      <c r="B29" s="203"/>
      <c r="C29" s="198" t="s">
        <v>1186</v>
      </c>
      <c r="D29" s="199">
        <v>45000.0</v>
      </c>
      <c r="E29" s="200">
        <f t="shared" si="1"/>
        <v>51750</v>
      </c>
    </row>
    <row r="30" ht="22.5" customHeight="1">
      <c r="A30" s="196" t="s">
        <v>622</v>
      </c>
      <c r="B30" s="204" t="s">
        <v>1193</v>
      </c>
      <c r="C30" s="198" t="s">
        <v>1183</v>
      </c>
      <c r="D30" s="199">
        <v>65000.0</v>
      </c>
      <c r="E30" s="200">
        <f t="shared" si="1"/>
        <v>74750</v>
      </c>
    </row>
    <row r="31" ht="22.5" customHeight="1">
      <c r="A31" s="201"/>
      <c r="B31" s="203"/>
      <c r="C31" s="198" t="s">
        <v>1184</v>
      </c>
      <c r="D31" s="199">
        <v>55500.0</v>
      </c>
      <c r="E31" s="200">
        <f t="shared" si="1"/>
        <v>63825</v>
      </c>
    </row>
    <row r="32" ht="22.5" customHeight="1">
      <c r="A32" s="201"/>
      <c r="B32" s="203"/>
      <c r="C32" s="198" t="s">
        <v>1185</v>
      </c>
      <c r="D32" s="199">
        <v>45000.0</v>
      </c>
      <c r="E32" s="200">
        <f t="shared" si="1"/>
        <v>51750</v>
      </c>
    </row>
    <row r="33" ht="22.5" customHeight="1">
      <c r="A33" s="201"/>
      <c r="B33" s="203"/>
      <c r="C33" s="198" t="s">
        <v>1186</v>
      </c>
      <c r="D33" s="199">
        <v>45000.0</v>
      </c>
      <c r="E33" s="200">
        <f t="shared" si="1"/>
        <v>51750</v>
      </c>
    </row>
    <row r="34" ht="22.5" customHeight="1">
      <c r="A34" s="196" t="s">
        <v>622</v>
      </c>
      <c r="B34" s="204" t="s">
        <v>1194</v>
      </c>
      <c r="C34" s="198" t="s">
        <v>1183</v>
      </c>
      <c r="D34" s="199">
        <v>65000.0</v>
      </c>
      <c r="E34" s="200">
        <f t="shared" si="1"/>
        <v>74750</v>
      </c>
    </row>
    <row r="35" ht="22.5" customHeight="1">
      <c r="A35" s="201"/>
      <c r="B35" s="203"/>
      <c r="C35" s="198" t="s">
        <v>1184</v>
      </c>
      <c r="D35" s="199">
        <v>55000.0</v>
      </c>
      <c r="E35" s="200">
        <f t="shared" si="1"/>
        <v>63250</v>
      </c>
    </row>
    <row r="36" ht="22.5" customHeight="1">
      <c r="A36" s="201"/>
      <c r="B36" s="203"/>
      <c r="C36" s="198" t="s">
        <v>1185</v>
      </c>
      <c r="D36" s="199">
        <v>45000.0</v>
      </c>
      <c r="E36" s="200">
        <f t="shared" si="1"/>
        <v>51750</v>
      </c>
    </row>
    <row r="37" ht="22.5" customHeight="1">
      <c r="A37" s="201"/>
      <c r="B37" s="203"/>
      <c r="C37" s="198" t="s">
        <v>1186</v>
      </c>
      <c r="D37" s="199">
        <v>45000.0</v>
      </c>
      <c r="E37" s="200">
        <f t="shared" si="1"/>
        <v>51750</v>
      </c>
    </row>
    <row r="38" ht="22.5" customHeight="1">
      <c r="A38" s="196" t="s">
        <v>622</v>
      </c>
      <c r="B38" s="204" t="s">
        <v>1195</v>
      </c>
      <c r="C38" s="198" t="s">
        <v>1183</v>
      </c>
      <c r="D38" s="199">
        <v>75000.0</v>
      </c>
      <c r="E38" s="200">
        <f t="shared" si="1"/>
        <v>86250</v>
      </c>
    </row>
    <row r="39" ht="22.5" customHeight="1">
      <c r="A39" s="201"/>
      <c r="B39" s="203"/>
      <c r="C39" s="198" t="s">
        <v>1184</v>
      </c>
      <c r="D39" s="199">
        <v>56000.0</v>
      </c>
      <c r="E39" s="200">
        <f t="shared" si="1"/>
        <v>64400</v>
      </c>
    </row>
    <row r="40" ht="22.5" customHeight="1">
      <c r="A40" s="201"/>
      <c r="B40" s="203"/>
      <c r="C40" s="198" t="s">
        <v>1185</v>
      </c>
      <c r="D40" s="199">
        <v>46000.0</v>
      </c>
      <c r="E40" s="200">
        <f t="shared" si="1"/>
        <v>52900</v>
      </c>
    </row>
    <row r="41" ht="22.5" customHeight="1">
      <c r="A41" s="201"/>
      <c r="B41" s="203"/>
      <c r="C41" s="198" t="s">
        <v>1186</v>
      </c>
      <c r="D41" s="199">
        <v>45000.0</v>
      </c>
      <c r="E41" s="200">
        <f t="shared" si="1"/>
        <v>51750</v>
      </c>
    </row>
    <row r="42" ht="22.5" customHeight="1">
      <c r="A42" s="196" t="s">
        <v>622</v>
      </c>
      <c r="B42" s="204" t="s">
        <v>1196</v>
      </c>
      <c r="C42" s="198" t="s">
        <v>1183</v>
      </c>
      <c r="D42" s="199">
        <v>89000.0</v>
      </c>
      <c r="E42" s="200">
        <f t="shared" si="1"/>
        <v>102350</v>
      </c>
    </row>
    <row r="43" ht="22.5" customHeight="1">
      <c r="A43" s="201"/>
      <c r="B43" s="203"/>
      <c r="C43" s="198" t="s">
        <v>1184</v>
      </c>
      <c r="D43" s="206"/>
      <c r="E43" s="200">
        <f t="shared" si="1"/>
        <v>0</v>
      </c>
    </row>
    <row r="44" ht="22.5" customHeight="1">
      <c r="A44" s="201"/>
      <c r="B44" s="203"/>
      <c r="C44" s="198" t="s">
        <v>1185</v>
      </c>
      <c r="D44" s="206"/>
      <c r="E44" s="200">
        <f t="shared" si="1"/>
        <v>0</v>
      </c>
    </row>
    <row r="45" ht="22.5" customHeight="1">
      <c r="A45" s="201"/>
      <c r="B45" s="203"/>
      <c r="C45" s="198" t="s">
        <v>1186</v>
      </c>
      <c r="D45" s="199">
        <v>45000.0</v>
      </c>
      <c r="E45" s="200">
        <f t="shared" si="1"/>
        <v>51750</v>
      </c>
    </row>
    <row r="46" ht="22.5" customHeight="1">
      <c r="A46" s="196" t="s">
        <v>622</v>
      </c>
      <c r="B46" s="204" t="s">
        <v>1197</v>
      </c>
      <c r="C46" s="198" t="s">
        <v>1183</v>
      </c>
      <c r="D46" s="199">
        <v>57500.0</v>
      </c>
      <c r="E46" s="200">
        <f t="shared" si="1"/>
        <v>66125</v>
      </c>
    </row>
    <row r="47" ht="22.5" customHeight="1">
      <c r="A47" s="201"/>
      <c r="B47" s="203"/>
      <c r="C47" s="198" t="s">
        <v>1184</v>
      </c>
      <c r="D47" s="199">
        <v>52000.0</v>
      </c>
      <c r="E47" s="200">
        <f t="shared" si="1"/>
        <v>59800</v>
      </c>
    </row>
    <row r="48" ht="22.5" customHeight="1">
      <c r="A48" s="201"/>
      <c r="B48" s="203"/>
      <c r="C48" s="198" t="s">
        <v>1185</v>
      </c>
      <c r="D48" s="199">
        <v>42000.0</v>
      </c>
      <c r="E48" s="200">
        <f t="shared" si="1"/>
        <v>48300</v>
      </c>
    </row>
    <row r="49" ht="22.5" customHeight="1">
      <c r="A49" s="201"/>
      <c r="B49" s="203"/>
      <c r="C49" s="198" t="s">
        <v>1186</v>
      </c>
      <c r="D49" s="199">
        <v>35000.0</v>
      </c>
      <c r="E49" s="200">
        <f t="shared" si="1"/>
        <v>40250</v>
      </c>
    </row>
    <row r="50" ht="22.5" customHeight="1">
      <c r="A50" s="196" t="s">
        <v>622</v>
      </c>
      <c r="B50" s="204" t="s">
        <v>1198</v>
      </c>
      <c r="C50" s="198" t="s">
        <v>1183</v>
      </c>
      <c r="D50" s="199">
        <v>65000.0</v>
      </c>
      <c r="E50" s="200">
        <f t="shared" si="1"/>
        <v>74750</v>
      </c>
    </row>
    <row r="51" ht="22.5" customHeight="1">
      <c r="A51" s="201"/>
      <c r="B51" s="203"/>
      <c r="C51" s="198" t="s">
        <v>1184</v>
      </c>
      <c r="D51" s="199">
        <v>55000.0</v>
      </c>
      <c r="E51" s="200">
        <f t="shared" si="1"/>
        <v>63250</v>
      </c>
    </row>
    <row r="52" ht="22.5" customHeight="1">
      <c r="A52" s="201"/>
      <c r="B52" s="203"/>
      <c r="C52" s="198" t="s">
        <v>1185</v>
      </c>
      <c r="D52" s="199">
        <v>45000.0</v>
      </c>
      <c r="E52" s="200">
        <f t="shared" si="1"/>
        <v>51750</v>
      </c>
    </row>
    <row r="53" ht="22.5" customHeight="1">
      <c r="A53" s="201"/>
      <c r="B53" s="203"/>
      <c r="C53" s="198" t="s">
        <v>1186</v>
      </c>
      <c r="D53" s="199">
        <v>40000.0</v>
      </c>
      <c r="E53" s="200">
        <f t="shared" si="1"/>
        <v>46000</v>
      </c>
    </row>
    <row r="54" ht="22.5" customHeight="1">
      <c r="A54" s="196" t="s">
        <v>622</v>
      </c>
      <c r="B54" s="204" t="s">
        <v>1199</v>
      </c>
      <c r="C54" s="198" t="s">
        <v>1183</v>
      </c>
      <c r="D54" s="199">
        <v>68000.0</v>
      </c>
      <c r="E54" s="200">
        <f t="shared" si="1"/>
        <v>78200</v>
      </c>
    </row>
    <row r="55" ht="22.5" customHeight="1">
      <c r="A55" s="201"/>
      <c r="B55" s="203"/>
      <c r="C55" s="198" t="s">
        <v>1184</v>
      </c>
      <c r="D55" s="199">
        <v>55000.0</v>
      </c>
      <c r="E55" s="200">
        <f t="shared" si="1"/>
        <v>63250</v>
      </c>
    </row>
    <row r="56" ht="22.5" customHeight="1">
      <c r="A56" s="201"/>
      <c r="B56" s="203"/>
      <c r="C56" s="198" t="s">
        <v>1185</v>
      </c>
      <c r="D56" s="206"/>
      <c r="E56" s="200">
        <f t="shared" si="1"/>
        <v>0</v>
      </c>
    </row>
    <row r="57" ht="22.5" customHeight="1">
      <c r="A57" s="201"/>
      <c r="B57" s="203"/>
      <c r="C57" s="198" t="s">
        <v>1186</v>
      </c>
      <c r="D57" s="199">
        <v>42000.0</v>
      </c>
      <c r="E57" s="200">
        <f t="shared" si="1"/>
        <v>48300</v>
      </c>
    </row>
    <row r="58" ht="22.5" customHeight="1">
      <c r="A58" s="196" t="s">
        <v>622</v>
      </c>
      <c r="B58" s="204" t="s">
        <v>1200</v>
      </c>
      <c r="C58" s="198" t="s">
        <v>1183</v>
      </c>
      <c r="D58" s="199">
        <v>88000.0</v>
      </c>
      <c r="E58" s="200">
        <f t="shared" si="1"/>
        <v>101200</v>
      </c>
    </row>
    <row r="59" ht="22.5" customHeight="1">
      <c r="A59" s="201"/>
      <c r="B59" s="203"/>
      <c r="C59" s="198" t="s">
        <v>1184</v>
      </c>
      <c r="D59" s="199">
        <v>65000.0</v>
      </c>
      <c r="E59" s="200">
        <f t="shared" si="1"/>
        <v>74750</v>
      </c>
    </row>
    <row r="60" ht="22.5" customHeight="1">
      <c r="A60" s="201"/>
      <c r="B60" s="203"/>
      <c r="C60" s="198" t="s">
        <v>1185</v>
      </c>
      <c r="D60" s="199">
        <v>55000.0</v>
      </c>
      <c r="E60" s="200">
        <f t="shared" si="1"/>
        <v>63250</v>
      </c>
    </row>
    <row r="61" ht="22.5" customHeight="1">
      <c r="A61" s="201"/>
      <c r="B61" s="203"/>
      <c r="C61" s="198" t="s">
        <v>1186</v>
      </c>
      <c r="D61" s="199">
        <v>45000.0</v>
      </c>
      <c r="E61" s="200">
        <f t="shared" si="1"/>
        <v>51750</v>
      </c>
    </row>
    <row r="62" ht="22.5" customHeight="1">
      <c r="A62" s="196" t="s">
        <v>622</v>
      </c>
      <c r="B62" s="204" t="s">
        <v>1201</v>
      </c>
      <c r="C62" s="198" t="s">
        <v>1183</v>
      </c>
      <c r="D62" s="199">
        <v>86000.0</v>
      </c>
      <c r="E62" s="200">
        <f t="shared" si="1"/>
        <v>98900</v>
      </c>
    </row>
    <row r="63" ht="22.5" customHeight="1">
      <c r="A63" s="201"/>
      <c r="B63" s="203"/>
      <c r="C63" s="198" t="s">
        <v>1184</v>
      </c>
      <c r="D63" s="199">
        <v>56000.0</v>
      </c>
      <c r="E63" s="200">
        <f t="shared" si="1"/>
        <v>64400</v>
      </c>
    </row>
    <row r="64" ht="22.5" customHeight="1">
      <c r="A64" s="201"/>
      <c r="B64" s="203"/>
      <c r="C64" s="198" t="s">
        <v>1185</v>
      </c>
      <c r="D64" s="199">
        <v>46000.0</v>
      </c>
      <c r="E64" s="200">
        <f t="shared" si="1"/>
        <v>52900</v>
      </c>
    </row>
    <row r="65" ht="22.5" customHeight="1">
      <c r="A65" s="201"/>
      <c r="B65" s="203"/>
      <c r="C65" s="198" t="s">
        <v>1186</v>
      </c>
      <c r="D65" s="199">
        <v>450000.0</v>
      </c>
      <c r="E65" s="200">
        <f t="shared" si="1"/>
        <v>517500</v>
      </c>
    </row>
    <row r="66" ht="22.5" customHeight="1">
      <c r="A66" s="196" t="s">
        <v>622</v>
      </c>
      <c r="B66" s="204" t="s">
        <v>1202</v>
      </c>
      <c r="C66" s="198" t="s">
        <v>1183</v>
      </c>
      <c r="D66" s="199">
        <v>120000.0</v>
      </c>
      <c r="E66" s="200">
        <f t="shared" si="1"/>
        <v>138000</v>
      </c>
    </row>
    <row r="67" ht="22.5" customHeight="1">
      <c r="A67" s="201"/>
      <c r="B67" s="203"/>
      <c r="C67" s="198" t="s">
        <v>1184</v>
      </c>
      <c r="D67" s="199">
        <v>80000.0</v>
      </c>
      <c r="E67" s="200">
        <f t="shared" si="1"/>
        <v>92000</v>
      </c>
    </row>
    <row r="68" ht="22.5" customHeight="1">
      <c r="A68" s="201"/>
      <c r="B68" s="203"/>
      <c r="C68" s="198" t="s">
        <v>1185</v>
      </c>
      <c r="D68" s="199">
        <v>75000.0</v>
      </c>
      <c r="E68" s="200">
        <f t="shared" si="1"/>
        <v>86250</v>
      </c>
    </row>
    <row r="69" ht="22.5" customHeight="1">
      <c r="A69" s="201"/>
      <c r="B69" s="203"/>
      <c r="C69" s="198" t="s">
        <v>1186</v>
      </c>
      <c r="D69" s="199">
        <v>45000.0</v>
      </c>
      <c r="E69" s="200">
        <f t="shared" si="1"/>
        <v>51750</v>
      </c>
    </row>
    <row r="70" ht="22.5" customHeight="1">
      <c r="A70" s="196" t="s">
        <v>622</v>
      </c>
      <c r="B70" s="204" t="s">
        <v>1203</v>
      </c>
      <c r="C70" s="198" t="s">
        <v>1183</v>
      </c>
      <c r="D70" s="199">
        <v>206000.0</v>
      </c>
      <c r="E70" s="200">
        <f t="shared" si="1"/>
        <v>236900</v>
      </c>
    </row>
    <row r="71" ht="22.5" customHeight="1">
      <c r="A71" s="201"/>
      <c r="B71" s="203"/>
      <c r="C71" s="198" t="s">
        <v>1184</v>
      </c>
      <c r="D71" s="199">
        <v>85000.0</v>
      </c>
      <c r="E71" s="200">
        <f t="shared" si="1"/>
        <v>97750</v>
      </c>
    </row>
    <row r="72" ht="22.5" customHeight="1">
      <c r="A72" s="201"/>
      <c r="B72" s="203"/>
      <c r="C72" s="198" t="s">
        <v>1185</v>
      </c>
      <c r="D72" s="199">
        <v>79000.0</v>
      </c>
      <c r="E72" s="200">
        <f t="shared" si="1"/>
        <v>90850</v>
      </c>
    </row>
    <row r="73" ht="22.5" customHeight="1">
      <c r="A73" s="201"/>
      <c r="B73" s="203"/>
      <c r="C73" s="198" t="s">
        <v>1186</v>
      </c>
      <c r="D73" s="199">
        <v>45000.0</v>
      </c>
      <c r="E73" s="200">
        <f t="shared" si="1"/>
        <v>51750</v>
      </c>
    </row>
    <row r="74" ht="22.5" customHeight="1">
      <c r="A74" s="196" t="s">
        <v>622</v>
      </c>
      <c r="B74" s="204" t="s">
        <v>1204</v>
      </c>
      <c r="C74" s="198" t="s">
        <v>1183</v>
      </c>
      <c r="D74" s="199">
        <v>90800.0</v>
      </c>
      <c r="E74" s="200">
        <f t="shared" si="1"/>
        <v>104420</v>
      </c>
    </row>
    <row r="75" ht="22.5" customHeight="1">
      <c r="A75" s="201"/>
      <c r="B75" s="203"/>
      <c r="C75" s="198" t="s">
        <v>1205</v>
      </c>
      <c r="D75" s="199">
        <v>75000.0</v>
      </c>
      <c r="E75" s="200">
        <f t="shared" si="1"/>
        <v>86250</v>
      </c>
    </row>
    <row r="76" ht="22.5" customHeight="1">
      <c r="A76" s="201"/>
      <c r="B76" s="203"/>
      <c r="C76" s="198" t="s">
        <v>1184</v>
      </c>
      <c r="D76" s="199">
        <v>55000.0</v>
      </c>
      <c r="E76" s="200">
        <f t="shared" si="1"/>
        <v>63250</v>
      </c>
    </row>
    <row r="77" ht="22.5" customHeight="1">
      <c r="A77" s="201"/>
      <c r="B77" s="203"/>
      <c r="C77" s="198" t="s">
        <v>1185</v>
      </c>
      <c r="D77" s="199">
        <v>45000.0</v>
      </c>
      <c r="E77" s="200">
        <f t="shared" si="1"/>
        <v>51750</v>
      </c>
    </row>
    <row r="78" ht="22.5" customHeight="1">
      <c r="A78" s="201"/>
      <c r="B78" s="203"/>
      <c r="C78" s="198" t="s">
        <v>1186</v>
      </c>
      <c r="D78" s="199">
        <v>40000.0</v>
      </c>
      <c r="E78" s="200">
        <f t="shared" si="1"/>
        <v>46000</v>
      </c>
    </row>
    <row r="79" ht="22.5" customHeight="1">
      <c r="A79" s="196" t="s">
        <v>622</v>
      </c>
      <c r="B79" s="204" t="s">
        <v>1206</v>
      </c>
      <c r="C79" s="207" t="s">
        <v>1183</v>
      </c>
      <c r="D79" s="199">
        <v>60000.0</v>
      </c>
      <c r="E79" s="200">
        <f t="shared" si="1"/>
        <v>69000</v>
      </c>
    </row>
    <row r="80" ht="22.5" customHeight="1">
      <c r="A80" s="201"/>
      <c r="B80" s="208"/>
      <c r="C80" s="209" t="s">
        <v>1184</v>
      </c>
      <c r="D80" s="199">
        <v>50000.0</v>
      </c>
      <c r="E80" s="200">
        <f t="shared" si="1"/>
        <v>57500</v>
      </c>
    </row>
    <row r="81" ht="22.5" customHeight="1">
      <c r="A81" s="201"/>
      <c r="B81" s="208"/>
      <c r="C81" s="207" t="s">
        <v>1185</v>
      </c>
      <c r="D81" s="199">
        <v>47000.0</v>
      </c>
      <c r="E81" s="200">
        <f t="shared" si="1"/>
        <v>54050</v>
      </c>
    </row>
    <row r="82" ht="22.5" customHeight="1">
      <c r="A82" s="201"/>
      <c r="B82" s="208"/>
      <c r="C82" s="209" t="s">
        <v>1186</v>
      </c>
      <c r="D82" s="199">
        <v>45000.0</v>
      </c>
      <c r="E82" s="200">
        <f t="shared" si="1"/>
        <v>51750</v>
      </c>
    </row>
    <row r="83" ht="22.5" customHeight="1">
      <c r="A83" s="196" t="s">
        <v>622</v>
      </c>
      <c r="B83" s="204" t="s">
        <v>1207</v>
      </c>
      <c r="C83" s="207" t="s">
        <v>1183</v>
      </c>
      <c r="D83" s="199">
        <v>65000.0</v>
      </c>
      <c r="E83" s="200">
        <f t="shared" si="1"/>
        <v>74750</v>
      </c>
    </row>
    <row r="84" ht="22.5" customHeight="1">
      <c r="A84" s="201"/>
      <c r="B84" s="208"/>
      <c r="C84" s="209" t="s">
        <v>1184</v>
      </c>
      <c r="D84" s="199">
        <v>50000.0</v>
      </c>
      <c r="E84" s="200">
        <f t="shared" si="1"/>
        <v>57500</v>
      </c>
    </row>
    <row r="85" ht="22.5" customHeight="1">
      <c r="A85" s="201"/>
      <c r="B85" s="208"/>
      <c r="C85" s="207" t="s">
        <v>1185</v>
      </c>
      <c r="D85" s="199">
        <v>47000.0</v>
      </c>
      <c r="E85" s="200">
        <f t="shared" si="1"/>
        <v>54050</v>
      </c>
    </row>
    <row r="86" ht="22.5" customHeight="1">
      <c r="A86" s="201"/>
      <c r="B86" s="208"/>
      <c r="C86" s="209" t="s">
        <v>1186</v>
      </c>
      <c r="D86" s="199">
        <v>45000.0</v>
      </c>
      <c r="E86" s="200">
        <f t="shared" si="1"/>
        <v>51750</v>
      </c>
    </row>
    <row r="87" ht="22.5" customHeight="1">
      <c r="A87" s="196" t="s">
        <v>622</v>
      </c>
      <c r="B87" s="204" t="s">
        <v>1208</v>
      </c>
      <c r="C87" s="207" t="s">
        <v>1183</v>
      </c>
      <c r="D87" s="199">
        <v>105000.0</v>
      </c>
      <c r="E87" s="200">
        <f t="shared" si="1"/>
        <v>120750</v>
      </c>
    </row>
    <row r="88" ht="22.5" customHeight="1">
      <c r="A88" s="201"/>
      <c r="B88" s="208"/>
      <c r="C88" s="209" t="s">
        <v>1184</v>
      </c>
      <c r="D88" s="199">
        <v>65000.0</v>
      </c>
      <c r="E88" s="200">
        <f t="shared" si="1"/>
        <v>74750</v>
      </c>
    </row>
    <row r="89" ht="22.5" customHeight="1">
      <c r="A89" s="201"/>
      <c r="B89" s="208"/>
      <c r="C89" s="207" t="s">
        <v>1185</v>
      </c>
      <c r="D89" s="199">
        <v>57000.0</v>
      </c>
      <c r="E89" s="200">
        <f t="shared" si="1"/>
        <v>65550</v>
      </c>
    </row>
    <row r="90" ht="22.5" customHeight="1">
      <c r="A90" s="201"/>
      <c r="B90" s="208"/>
      <c r="C90" s="210" t="s">
        <v>1186</v>
      </c>
      <c r="D90" s="199">
        <v>45000.0</v>
      </c>
      <c r="E90" s="200">
        <f t="shared" si="1"/>
        <v>51750</v>
      </c>
    </row>
    <row r="91" ht="22.5" customHeight="1">
      <c r="A91" s="196" t="s">
        <v>622</v>
      </c>
      <c r="B91" s="204" t="s">
        <v>1209</v>
      </c>
      <c r="C91" s="207" t="s">
        <v>1183</v>
      </c>
      <c r="D91" s="199">
        <v>89000.0</v>
      </c>
      <c r="E91" s="200">
        <f t="shared" si="1"/>
        <v>102350</v>
      </c>
    </row>
    <row r="92" ht="22.5" customHeight="1">
      <c r="A92" s="201"/>
      <c r="B92" s="208"/>
      <c r="C92" s="209" t="s">
        <v>1184</v>
      </c>
      <c r="D92" s="199">
        <v>58000.0</v>
      </c>
      <c r="E92" s="200">
        <f t="shared" si="1"/>
        <v>66700</v>
      </c>
    </row>
    <row r="93" ht="22.5" customHeight="1">
      <c r="A93" s="201"/>
      <c r="B93" s="208"/>
      <c r="C93" s="207" t="s">
        <v>1185</v>
      </c>
      <c r="D93" s="199">
        <v>49000.0</v>
      </c>
      <c r="E93" s="200">
        <f t="shared" si="1"/>
        <v>56350</v>
      </c>
    </row>
    <row r="94" ht="22.5" customHeight="1">
      <c r="A94" s="201"/>
      <c r="B94" s="208"/>
      <c r="C94" s="209" t="s">
        <v>1186</v>
      </c>
      <c r="D94" s="199">
        <v>45000.0</v>
      </c>
      <c r="E94" s="200">
        <f t="shared" si="1"/>
        <v>51750</v>
      </c>
    </row>
    <row r="95" ht="22.5" customHeight="1">
      <c r="A95" s="196" t="s">
        <v>622</v>
      </c>
      <c r="B95" s="204" t="s">
        <v>1210</v>
      </c>
      <c r="C95" s="207" t="s">
        <v>1183</v>
      </c>
      <c r="D95" s="199">
        <v>115000.0</v>
      </c>
      <c r="E95" s="200">
        <f t="shared" si="1"/>
        <v>132250</v>
      </c>
    </row>
    <row r="96" ht="22.5" customHeight="1">
      <c r="A96" s="201"/>
      <c r="B96" s="208"/>
      <c r="C96" s="209" t="s">
        <v>1184</v>
      </c>
      <c r="D96" s="199">
        <v>75000.0</v>
      </c>
      <c r="E96" s="200">
        <f t="shared" si="1"/>
        <v>86250</v>
      </c>
    </row>
    <row r="97" ht="22.5" customHeight="1">
      <c r="A97" s="201"/>
      <c r="B97" s="208"/>
      <c r="C97" s="207" t="s">
        <v>1185</v>
      </c>
      <c r="D97" s="199">
        <v>68000.0</v>
      </c>
      <c r="E97" s="200">
        <f t="shared" si="1"/>
        <v>78200</v>
      </c>
    </row>
    <row r="98" ht="22.5" customHeight="1">
      <c r="A98" s="201"/>
      <c r="B98" s="208"/>
      <c r="C98" s="209" t="s">
        <v>1186</v>
      </c>
      <c r="D98" s="199">
        <v>45000.0</v>
      </c>
      <c r="E98" s="200">
        <f t="shared" si="1"/>
        <v>51750</v>
      </c>
    </row>
    <row r="99" ht="22.5" customHeight="1">
      <c r="A99" s="196" t="s">
        <v>622</v>
      </c>
      <c r="B99" s="204" t="s">
        <v>1211</v>
      </c>
      <c r="C99" s="207" t="s">
        <v>1183</v>
      </c>
      <c r="D99" s="199">
        <v>128000.0</v>
      </c>
      <c r="E99" s="200">
        <f t="shared" si="1"/>
        <v>147200</v>
      </c>
    </row>
    <row r="100" ht="22.5" customHeight="1">
      <c r="A100" s="201"/>
      <c r="B100" s="208"/>
      <c r="C100" s="209" t="s">
        <v>1184</v>
      </c>
      <c r="D100" s="199">
        <v>78000.0</v>
      </c>
      <c r="E100" s="200">
        <f t="shared" si="1"/>
        <v>89700</v>
      </c>
    </row>
    <row r="101" ht="22.5" customHeight="1">
      <c r="A101" s="201"/>
      <c r="B101" s="208"/>
      <c r="C101" s="207" t="s">
        <v>1185</v>
      </c>
      <c r="D101" s="199">
        <v>70000.0</v>
      </c>
      <c r="E101" s="200">
        <f t="shared" si="1"/>
        <v>80500</v>
      </c>
    </row>
    <row r="102" ht="22.5" customHeight="1">
      <c r="A102" s="201"/>
      <c r="B102" s="208"/>
      <c r="C102" s="209" t="s">
        <v>1186</v>
      </c>
      <c r="D102" s="199">
        <v>45000.0</v>
      </c>
      <c r="E102" s="200">
        <f t="shared" si="1"/>
        <v>51750</v>
      </c>
    </row>
    <row r="103" ht="22.5" customHeight="1">
      <c r="A103" s="196" t="s">
        <v>622</v>
      </c>
      <c r="B103" s="204" t="s">
        <v>1212</v>
      </c>
      <c r="C103" s="198" t="s">
        <v>1183</v>
      </c>
      <c r="D103" s="199">
        <v>135000.0</v>
      </c>
      <c r="E103" s="200">
        <f t="shared" si="1"/>
        <v>155250</v>
      </c>
    </row>
    <row r="104" ht="22.5" customHeight="1">
      <c r="A104" s="211"/>
      <c r="B104" s="208"/>
      <c r="C104" s="198" t="s">
        <v>1184</v>
      </c>
      <c r="D104" s="199">
        <v>89000.0</v>
      </c>
      <c r="E104" s="200">
        <f t="shared" si="1"/>
        <v>102350</v>
      </c>
    </row>
    <row r="105" ht="22.5" customHeight="1">
      <c r="A105" s="211"/>
      <c r="B105" s="208"/>
      <c r="C105" s="198" t="s">
        <v>1185</v>
      </c>
      <c r="D105" s="199">
        <v>76000.0</v>
      </c>
      <c r="E105" s="200">
        <f t="shared" si="1"/>
        <v>87400</v>
      </c>
    </row>
    <row r="106" ht="22.5" customHeight="1">
      <c r="A106" s="211"/>
      <c r="B106" s="208"/>
      <c r="C106" s="198" t="s">
        <v>1186</v>
      </c>
      <c r="D106" s="199">
        <v>50000.0</v>
      </c>
      <c r="E106" s="200">
        <f t="shared" si="1"/>
        <v>57500</v>
      </c>
    </row>
    <row r="107" ht="22.5" customHeight="1">
      <c r="A107" s="196" t="s">
        <v>622</v>
      </c>
      <c r="B107" s="204" t="s">
        <v>1213</v>
      </c>
      <c r="C107" s="198" t="s">
        <v>1183</v>
      </c>
      <c r="D107" s="199">
        <v>92000.0</v>
      </c>
      <c r="E107" s="200">
        <f t="shared" si="1"/>
        <v>105800</v>
      </c>
    </row>
    <row r="108" ht="22.5" customHeight="1">
      <c r="A108" s="201"/>
      <c r="B108" s="203"/>
      <c r="C108" s="198" t="s">
        <v>1184</v>
      </c>
      <c r="D108" s="199">
        <v>50000.0</v>
      </c>
      <c r="E108" s="200">
        <f t="shared" si="1"/>
        <v>57500</v>
      </c>
    </row>
    <row r="109" ht="22.5" customHeight="1">
      <c r="A109" s="201"/>
      <c r="B109" s="203"/>
      <c r="C109" s="198" t="s">
        <v>1185</v>
      </c>
      <c r="D109" s="199">
        <v>47000.0</v>
      </c>
      <c r="E109" s="200">
        <f t="shared" si="1"/>
        <v>54050</v>
      </c>
    </row>
    <row r="110" ht="22.5" customHeight="1">
      <c r="A110" s="201"/>
      <c r="B110" s="203"/>
      <c r="C110" s="198" t="s">
        <v>1186</v>
      </c>
      <c r="D110" s="199">
        <v>42000.0</v>
      </c>
      <c r="E110" s="200">
        <f t="shared" si="1"/>
        <v>48300</v>
      </c>
    </row>
    <row r="111" ht="22.5" customHeight="1">
      <c r="A111" s="196" t="s">
        <v>622</v>
      </c>
      <c r="B111" s="204" t="s">
        <v>1214</v>
      </c>
      <c r="C111" s="198" t="s">
        <v>1183</v>
      </c>
      <c r="D111" s="199">
        <v>92000.0</v>
      </c>
      <c r="E111" s="200">
        <f t="shared" si="1"/>
        <v>105800</v>
      </c>
    </row>
    <row r="112" ht="22.5" customHeight="1">
      <c r="A112" s="211"/>
      <c r="B112" s="208"/>
      <c r="C112" s="198" t="s">
        <v>1184</v>
      </c>
      <c r="D112" s="199">
        <v>50000.0</v>
      </c>
      <c r="E112" s="200">
        <f t="shared" si="1"/>
        <v>57500</v>
      </c>
    </row>
    <row r="113" ht="22.5" customHeight="1">
      <c r="A113" s="211"/>
      <c r="B113" s="208"/>
      <c r="C113" s="198" t="s">
        <v>1185</v>
      </c>
      <c r="D113" s="199">
        <v>47000.0</v>
      </c>
      <c r="E113" s="200">
        <f t="shared" si="1"/>
        <v>54050</v>
      </c>
    </row>
    <row r="114" ht="22.5" customHeight="1">
      <c r="A114" s="211"/>
      <c r="B114" s="208"/>
      <c r="C114" s="198" t="s">
        <v>1186</v>
      </c>
      <c r="D114" s="199">
        <v>45000.0</v>
      </c>
      <c r="E114" s="200">
        <f t="shared" si="1"/>
        <v>51750</v>
      </c>
    </row>
    <row r="115" ht="22.5" customHeight="1">
      <c r="A115" s="196" t="s">
        <v>622</v>
      </c>
      <c r="B115" s="204" t="s">
        <v>1215</v>
      </c>
      <c r="C115" s="198" t="s">
        <v>1183</v>
      </c>
      <c r="D115" s="199">
        <v>150000.0</v>
      </c>
      <c r="E115" s="200">
        <f t="shared" si="1"/>
        <v>172500</v>
      </c>
    </row>
    <row r="116" ht="22.5" customHeight="1">
      <c r="A116" s="211"/>
      <c r="B116" s="208"/>
      <c r="C116" s="198" t="s">
        <v>1205</v>
      </c>
      <c r="D116" s="199">
        <v>110000.0</v>
      </c>
      <c r="E116" s="200">
        <f t="shared" si="1"/>
        <v>126500</v>
      </c>
    </row>
    <row r="117" ht="22.5" customHeight="1">
      <c r="A117" s="211"/>
      <c r="B117" s="208"/>
      <c r="C117" s="198" t="s">
        <v>1184</v>
      </c>
      <c r="D117" s="199">
        <v>70000.0</v>
      </c>
      <c r="E117" s="200">
        <f t="shared" si="1"/>
        <v>80500</v>
      </c>
    </row>
    <row r="118" ht="22.5" customHeight="1">
      <c r="A118" s="211"/>
      <c r="B118" s="208"/>
      <c r="C118" s="198" t="s">
        <v>1185</v>
      </c>
      <c r="D118" s="199">
        <v>67000.0</v>
      </c>
      <c r="E118" s="200">
        <f t="shared" si="1"/>
        <v>77050</v>
      </c>
    </row>
    <row r="119" ht="22.5" customHeight="1">
      <c r="A119" s="211"/>
      <c r="B119" s="208"/>
      <c r="C119" s="198" t="s">
        <v>1186</v>
      </c>
      <c r="D119" s="199">
        <v>45000.0</v>
      </c>
      <c r="E119" s="200">
        <f t="shared" si="1"/>
        <v>51750</v>
      </c>
    </row>
    <row r="120" ht="22.5" customHeight="1">
      <c r="A120" s="196" t="s">
        <v>622</v>
      </c>
      <c r="B120" s="204" t="s">
        <v>1216</v>
      </c>
      <c r="C120" s="198" t="s">
        <v>1183</v>
      </c>
      <c r="D120" s="199">
        <v>175000.0</v>
      </c>
      <c r="E120" s="200">
        <f t="shared" si="1"/>
        <v>201250</v>
      </c>
    </row>
    <row r="121" ht="22.5" customHeight="1">
      <c r="A121" s="211"/>
      <c r="B121" s="208"/>
      <c r="C121" s="198" t="s">
        <v>1184</v>
      </c>
      <c r="D121" s="199">
        <v>120000.0</v>
      </c>
      <c r="E121" s="200">
        <f t="shared" si="1"/>
        <v>138000</v>
      </c>
    </row>
    <row r="122" ht="22.5" customHeight="1">
      <c r="A122" s="211"/>
      <c r="B122" s="208"/>
      <c r="C122" s="198" t="s">
        <v>1186</v>
      </c>
      <c r="D122" s="199">
        <v>65000.0</v>
      </c>
      <c r="E122" s="200">
        <f t="shared" si="1"/>
        <v>74750</v>
      </c>
    </row>
    <row r="123" ht="22.5" customHeight="1">
      <c r="A123" s="196" t="s">
        <v>622</v>
      </c>
      <c r="B123" s="204" t="s">
        <v>1217</v>
      </c>
      <c r="C123" s="198" t="s">
        <v>1218</v>
      </c>
      <c r="D123" s="199">
        <v>320000.0</v>
      </c>
      <c r="E123" s="200">
        <f t="shared" si="1"/>
        <v>368000</v>
      </c>
    </row>
    <row r="124" ht="22.5" customHeight="1">
      <c r="A124" s="211"/>
      <c r="B124" s="208"/>
      <c r="C124" s="198" t="s">
        <v>1205</v>
      </c>
      <c r="D124" s="199">
        <v>117300.0</v>
      </c>
      <c r="E124" s="200">
        <f t="shared" si="1"/>
        <v>134895</v>
      </c>
    </row>
    <row r="125" ht="22.5" customHeight="1">
      <c r="A125" s="211"/>
      <c r="B125" s="208"/>
      <c r="C125" s="198" t="s">
        <v>1184</v>
      </c>
      <c r="D125" s="199">
        <v>150000.0</v>
      </c>
      <c r="E125" s="200">
        <f t="shared" si="1"/>
        <v>172500</v>
      </c>
    </row>
    <row r="126" ht="22.5" customHeight="1">
      <c r="A126" s="211"/>
      <c r="B126" s="208"/>
      <c r="C126" s="198" t="s">
        <v>1186</v>
      </c>
      <c r="D126" s="199">
        <v>65000.0</v>
      </c>
      <c r="E126" s="200">
        <f t="shared" si="1"/>
        <v>74750</v>
      </c>
    </row>
    <row r="127" ht="22.5" customHeight="1">
      <c r="A127" s="196" t="s">
        <v>622</v>
      </c>
      <c r="B127" s="204" t="s">
        <v>1219</v>
      </c>
      <c r="C127" s="198" t="s">
        <v>1218</v>
      </c>
      <c r="D127" s="199">
        <v>280000.0</v>
      </c>
      <c r="E127" s="200">
        <f t="shared" si="1"/>
        <v>322000</v>
      </c>
    </row>
    <row r="128" ht="22.5" customHeight="1">
      <c r="A128" s="211"/>
      <c r="B128" s="208"/>
      <c r="C128" s="198" t="s">
        <v>1205</v>
      </c>
      <c r="D128" s="199">
        <v>161000.0</v>
      </c>
      <c r="E128" s="200">
        <f t="shared" si="1"/>
        <v>185150</v>
      </c>
    </row>
    <row r="129" ht="22.5" customHeight="1">
      <c r="A129" s="211"/>
      <c r="B129" s="208"/>
      <c r="C129" s="198" t="s">
        <v>1184</v>
      </c>
      <c r="D129" s="199">
        <v>150000.0</v>
      </c>
      <c r="E129" s="200">
        <f t="shared" si="1"/>
        <v>172500</v>
      </c>
    </row>
    <row r="130" ht="22.5" customHeight="1">
      <c r="A130" s="211"/>
      <c r="B130" s="208"/>
      <c r="C130" s="198" t="s">
        <v>1186</v>
      </c>
      <c r="D130" s="199">
        <v>65000.0</v>
      </c>
      <c r="E130" s="200">
        <f t="shared" si="1"/>
        <v>74750</v>
      </c>
    </row>
    <row r="131" ht="22.5" customHeight="1">
      <c r="A131" s="196" t="s">
        <v>622</v>
      </c>
      <c r="B131" s="204" t="s">
        <v>1220</v>
      </c>
      <c r="C131" s="198" t="s">
        <v>1218</v>
      </c>
      <c r="D131" s="199">
        <v>230000.0</v>
      </c>
      <c r="E131" s="200">
        <f t="shared" si="1"/>
        <v>264500</v>
      </c>
    </row>
    <row r="132" ht="22.5" customHeight="1">
      <c r="A132" s="211"/>
      <c r="B132" s="208"/>
      <c r="C132" s="198" t="s">
        <v>1184</v>
      </c>
      <c r="D132" s="199">
        <v>150000.0</v>
      </c>
      <c r="E132" s="200">
        <f t="shared" si="1"/>
        <v>172500</v>
      </c>
    </row>
    <row r="133" ht="22.5" customHeight="1">
      <c r="A133" s="211"/>
      <c r="B133" s="208"/>
      <c r="C133" s="198" t="s">
        <v>1185</v>
      </c>
      <c r="D133" s="199">
        <v>120000.0</v>
      </c>
      <c r="E133" s="200">
        <f t="shared" si="1"/>
        <v>138000</v>
      </c>
    </row>
    <row r="134" ht="22.5" customHeight="1">
      <c r="A134" s="211"/>
      <c r="B134" s="208"/>
      <c r="C134" s="198" t="s">
        <v>1186</v>
      </c>
      <c r="D134" s="199">
        <v>70000.0</v>
      </c>
      <c r="E134" s="200">
        <f t="shared" si="1"/>
        <v>80500</v>
      </c>
    </row>
    <row r="135" ht="22.5" customHeight="1">
      <c r="A135" s="196" t="s">
        <v>622</v>
      </c>
      <c r="B135" s="204" t="s">
        <v>1221</v>
      </c>
      <c r="C135" s="198" t="s">
        <v>1183</v>
      </c>
      <c r="D135" s="199">
        <v>92000.0</v>
      </c>
      <c r="E135" s="200">
        <f t="shared" si="1"/>
        <v>105800</v>
      </c>
    </row>
    <row r="136" ht="22.5" customHeight="1">
      <c r="A136" s="201"/>
      <c r="B136" s="203"/>
      <c r="C136" s="198" t="s">
        <v>1184</v>
      </c>
      <c r="D136" s="199">
        <v>55000.0</v>
      </c>
      <c r="E136" s="200">
        <f t="shared" si="1"/>
        <v>63250</v>
      </c>
    </row>
    <row r="137" ht="22.5" customHeight="1">
      <c r="A137" s="201"/>
      <c r="B137" s="203"/>
      <c r="C137" s="198" t="s">
        <v>1185</v>
      </c>
      <c r="D137" s="199">
        <v>50000.0</v>
      </c>
      <c r="E137" s="200">
        <f t="shared" si="1"/>
        <v>57500</v>
      </c>
    </row>
    <row r="138" ht="22.5" customHeight="1">
      <c r="A138" s="201"/>
      <c r="B138" s="203"/>
      <c r="C138" s="198" t="s">
        <v>1186</v>
      </c>
      <c r="D138" s="199">
        <v>45000.0</v>
      </c>
      <c r="E138" s="200">
        <f t="shared" si="1"/>
        <v>51750</v>
      </c>
    </row>
    <row r="139" ht="22.5" customHeight="1">
      <c r="A139" s="196" t="s">
        <v>622</v>
      </c>
      <c r="B139" s="204" t="s">
        <v>1222</v>
      </c>
      <c r="C139" s="198" t="s">
        <v>1218</v>
      </c>
      <c r="D139" s="199">
        <v>220000.0</v>
      </c>
      <c r="E139" s="200">
        <f t="shared" si="1"/>
        <v>253000</v>
      </c>
    </row>
    <row r="140" ht="22.5" customHeight="1">
      <c r="A140" s="201"/>
      <c r="B140" s="203"/>
      <c r="C140" s="198" t="s">
        <v>1205</v>
      </c>
      <c r="D140" s="199">
        <v>110000.0</v>
      </c>
      <c r="E140" s="200">
        <f t="shared" si="1"/>
        <v>126500</v>
      </c>
    </row>
    <row r="141" ht="22.5" customHeight="1">
      <c r="A141" s="201"/>
      <c r="B141" s="203"/>
      <c r="C141" s="198" t="s">
        <v>1183</v>
      </c>
      <c r="D141" s="199">
        <v>78000.0</v>
      </c>
      <c r="E141" s="200">
        <f t="shared" si="1"/>
        <v>89700</v>
      </c>
    </row>
    <row r="142" ht="22.5" customHeight="1">
      <c r="A142" s="201"/>
      <c r="B142" s="203"/>
      <c r="C142" s="198" t="s">
        <v>1186</v>
      </c>
      <c r="D142" s="199">
        <v>45000.0</v>
      </c>
      <c r="E142" s="200">
        <f t="shared" si="1"/>
        <v>51750</v>
      </c>
    </row>
    <row r="143" ht="22.5" customHeight="1">
      <c r="A143" s="196" t="s">
        <v>622</v>
      </c>
      <c r="B143" s="204" t="s">
        <v>1223</v>
      </c>
      <c r="C143" s="198" t="s">
        <v>1218</v>
      </c>
      <c r="D143" s="199">
        <v>273000.0</v>
      </c>
      <c r="E143" s="200">
        <f t="shared" si="1"/>
        <v>313950</v>
      </c>
    </row>
    <row r="144" ht="22.5" customHeight="1">
      <c r="A144" s="201"/>
      <c r="B144" s="203"/>
      <c r="C144" s="198" t="s">
        <v>1184</v>
      </c>
      <c r="D144" s="199">
        <v>110000.0</v>
      </c>
      <c r="E144" s="200">
        <f t="shared" si="1"/>
        <v>126500</v>
      </c>
    </row>
    <row r="145" ht="22.5" customHeight="1">
      <c r="A145" s="201"/>
      <c r="B145" s="203"/>
      <c r="C145" s="198" t="s">
        <v>1185</v>
      </c>
      <c r="D145" s="199">
        <v>90000.0</v>
      </c>
      <c r="E145" s="200">
        <f t="shared" si="1"/>
        <v>103500</v>
      </c>
    </row>
    <row r="146" ht="22.5" customHeight="1">
      <c r="A146" s="201"/>
      <c r="B146" s="203"/>
      <c r="C146" s="198" t="s">
        <v>1186</v>
      </c>
      <c r="D146" s="199">
        <v>45000.0</v>
      </c>
      <c r="E146" s="200">
        <f t="shared" si="1"/>
        <v>51750</v>
      </c>
    </row>
    <row r="147" ht="22.5" customHeight="1">
      <c r="A147" s="196" t="s">
        <v>622</v>
      </c>
      <c r="B147" s="204" t="s">
        <v>1224</v>
      </c>
      <c r="C147" s="198" t="s">
        <v>1218</v>
      </c>
      <c r="D147" s="199">
        <v>240000.0</v>
      </c>
      <c r="E147" s="200">
        <f t="shared" si="1"/>
        <v>276000</v>
      </c>
    </row>
    <row r="148" ht="22.5" customHeight="1">
      <c r="A148" s="201"/>
      <c r="B148" s="203"/>
      <c r="C148" s="198" t="s">
        <v>1184</v>
      </c>
      <c r="D148" s="199">
        <v>120000.0</v>
      </c>
      <c r="E148" s="200">
        <f t="shared" si="1"/>
        <v>138000</v>
      </c>
    </row>
    <row r="149" ht="22.5" customHeight="1">
      <c r="A149" s="201"/>
      <c r="B149" s="203"/>
      <c r="C149" s="198" t="s">
        <v>1185</v>
      </c>
      <c r="D149" s="199">
        <v>100000.0</v>
      </c>
      <c r="E149" s="200">
        <f t="shared" si="1"/>
        <v>115000</v>
      </c>
    </row>
    <row r="150" ht="22.5" customHeight="1">
      <c r="A150" s="201"/>
      <c r="B150" s="203"/>
      <c r="C150" s="198" t="s">
        <v>1186</v>
      </c>
      <c r="D150" s="199">
        <v>65000.0</v>
      </c>
      <c r="E150" s="200">
        <f t="shared" si="1"/>
        <v>74750</v>
      </c>
    </row>
    <row r="151" ht="22.5" customHeight="1">
      <c r="A151" s="196" t="s">
        <v>622</v>
      </c>
      <c r="B151" s="204" t="s">
        <v>1225</v>
      </c>
      <c r="C151" s="198" t="s">
        <v>1218</v>
      </c>
      <c r="D151" s="199">
        <v>240000.0</v>
      </c>
      <c r="E151" s="200">
        <f t="shared" si="1"/>
        <v>276000</v>
      </c>
    </row>
    <row r="152" ht="22.5" customHeight="1">
      <c r="A152" s="201"/>
      <c r="B152" s="203"/>
      <c r="C152" s="198" t="s">
        <v>1205</v>
      </c>
      <c r="D152" s="199">
        <v>200000.0</v>
      </c>
      <c r="E152" s="200">
        <f t="shared" si="1"/>
        <v>230000</v>
      </c>
    </row>
    <row r="153" ht="22.5" customHeight="1">
      <c r="A153" s="201"/>
      <c r="B153" s="203"/>
      <c r="C153" s="198" t="s">
        <v>1184</v>
      </c>
      <c r="D153" s="199">
        <v>130000.0</v>
      </c>
      <c r="E153" s="200">
        <f t="shared" si="1"/>
        <v>149500</v>
      </c>
    </row>
    <row r="154" ht="22.5" customHeight="1">
      <c r="A154" s="201"/>
      <c r="B154" s="203"/>
      <c r="C154" s="198" t="s">
        <v>1185</v>
      </c>
      <c r="D154" s="199">
        <v>120000.0</v>
      </c>
      <c r="E154" s="200">
        <f t="shared" si="1"/>
        <v>138000</v>
      </c>
    </row>
    <row r="155" ht="22.5" customHeight="1">
      <c r="A155" s="201"/>
      <c r="B155" s="203"/>
      <c r="C155" s="198" t="s">
        <v>1186</v>
      </c>
      <c r="D155" s="199">
        <v>65000.0</v>
      </c>
      <c r="E155" s="200">
        <f t="shared" si="1"/>
        <v>74750</v>
      </c>
    </row>
    <row r="156" ht="22.5" customHeight="1">
      <c r="A156" s="196" t="s">
        <v>622</v>
      </c>
      <c r="B156" s="204" t="s">
        <v>1226</v>
      </c>
      <c r="C156" s="198" t="s">
        <v>1218</v>
      </c>
      <c r="D156" s="199">
        <v>305000.0</v>
      </c>
      <c r="E156" s="200">
        <f t="shared" si="1"/>
        <v>350750</v>
      </c>
    </row>
    <row r="157" ht="22.5" customHeight="1">
      <c r="A157" s="201"/>
      <c r="B157" s="203"/>
      <c r="C157" s="198" t="s">
        <v>1184</v>
      </c>
      <c r="D157" s="199">
        <v>130000.0</v>
      </c>
      <c r="E157" s="200">
        <f t="shared" si="1"/>
        <v>149500</v>
      </c>
    </row>
    <row r="158" ht="22.5" customHeight="1">
      <c r="A158" s="201"/>
      <c r="B158" s="203"/>
      <c r="C158" s="198" t="s">
        <v>1185</v>
      </c>
      <c r="D158" s="199">
        <v>120000.0</v>
      </c>
      <c r="E158" s="200">
        <f t="shared" si="1"/>
        <v>138000</v>
      </c>
    </row>
    <row r="159" ht="22.5" customHeight="1">
      <c r="A159" s="201"/>
      <c r="B159" s="203"/>
      <c r="C159" s="198" t="s">
        <v>1186</v>
      </c>
      <c r="D159" s="199">
        <v>85000.0</v>
      </c>
      <c r="E159" s="200">
        <f t="shared" si="1"/>
        <v>97750</v>
      </c>
    </row>
    <row r="160" ht="22.5" customHeight="1">
      <c r="A160" s="196" t="s">
        <v>622</v>
      </c>
      <c r="B160" s="204" t="s">
        <v>1227</v>
      </c>
      <c r="C160" s="198" t="s">
        <v>1218</v>
      </c>
      <c r="D160" s="199">
        <v>305000.0</v>
      </c>
      <c r="E160" s="200">
        <f t="shared" si="1"/>
        <v>350750</v>
      </c>
    </row>
    <row r="161" ht="22.5" customHeight="1">
      <c r="A161" s="201"/>
      <c r="B161" s="203"/>
      <c r="C161" s="198" t="s">
        <v>1184</v>
      </c>
      <c r="D161" s="199">
        <v>130000.0</v>
      </c>
      <c r="E161" s="200">
        <f t="shared" si="1"/>
        <v>149500</v>
      </c>
    </row>
    <row r="162" ht="22.5" customHeight="1">
      <c r="A162" s="201"/>
      <c r="B162" s="203"/>
      <c r="C162" s="198" t="s">
        <v>1185</v>
      </c>
      <c r="D162" s="199">
        <v>120000.0</v>
      </c>
      <c r="E162" s="200">
        <f t="shared" si="1"/>
        <v>138000</v>
      </c>
    </row>
    <row r="163" ht="22.5" customHeight="1">
      <c r="A163" s="201"/>
      <c r="B163" s="203"/>
      <c r="C163" s="198" t="s">
        <v>1186</v>
      </c>
      <c r="D163" s="199">
        <v>85000.0</v>
      </c>
      <c r="E163" s="200">
        <f t="shared" si="1"/>
        <v>97750</v>
      </c>
    </row>
    <row r="164" ht="22.5" customHeight="1">
      <c r="A164" s="196" t="s">
        <v>622</v>
      </c>
      <c r="B164" s="204" t="s">
        <v>1228</v>
      </c>
      <c r="C164" s="198" t="s">
        <v>1218</v>
      </c>
      <c r="D164" s="199">
        <v>300000.0</v>
      </c>
      <c r="E164" s="200">
        <f t="shared" si="1"/>
        <v>345000</v>
      </c>
    </row>
    <row r="165" ht="22.5" customHeight="1">
      <c r="A165" s="201"/>
      <c r="B165" s="203"/>
      <c r="C165" s="198" t="s">
        <v>1184</v>
      </c>
      <c r="D165" s="199">
        <v>100000.0</v>
      </c>
      <c r="E165" s="200">
        <f t="shared" si="1"/>
        <v>115000</v>
      </c>
    </row>
    <row r="166" ht="22.5" customHeight="1">
      <c r="A166" s="201"/>
      <c r="B166" s="203"/>
      <c r="C166" s="198" t="s">
        <v>1185</v>
      </c>
      <c r="D166" s="199">
        <v>87000.0</v>
      </c>
      <c r="E166" s="200">
        <f t="shared" si="1"/>
        <v>100050</v>
      </c>
    </row>
    <row r="167" ht="22.5" customHeight="1">
      <c r="A167" s="201"/>
      <c r="B167" s="203"/>
      <c r="C167" s="198" t="s">
        <v>1186</v>
      </c>
      <c r="D167" s="199">
        <v>75000.0</v>
      </c>
      <c r="E167" s="200">
        <f t="shared" si="1"/>
        <v>86250</v>
      </c>
    </row>
    <row r="168" ht="22.5" customHeight="1">
      <c r="A168" s="196" t="s">
        <v>622</v>
      </c>
      <c r="B168" s="204" t="s">
        <v>1229</v>
      </c>
      <c r="C168" s="212" t="s">
        <v>1218</v>
      </c>
      <c r="D168" s="199">
        <v>290000.0</v>
      </c>
      <c r="E168" s="200">
        <f t="shared" si="1"/>
        <v>333500</v>
      </c>
    </row>
    <row r="169" ht="22.5" customHeight="1">
      <c r="A169" s="201"/>
      <c r="B169" s="203"/>
      <c r="C169" s="210" t="s">
        <v>1205</v>
      </c>
      <c r="D169" s="199">
        <v>150000.0</v>
      </c>
      <c r="E169" s="200">
        <f t="shared" si="1"/>
        <v>172500</v>
      </c>
    </row>
    <row r="170" ht="22.5" customHeight="1">
      <c r="A170" s="201"/>
      <c r="B170" s="203"/>
      <c r="C170" s="209" t="s">
        <v>1184</v>
      </c>
      <c r="D170" s="199">
        <v>130000.0</v>
      </c>
      <c r="E170" s="200">
        <f t="shared" si="1"/>
        <v>149500</v>
      </c>
    </row>
    <row r="171" ht="22.5" customHeight="1">
      <c r="A171" s="201"/>
      <c r="B171" s="203"/>
      <c r="C171" s="207" t="s">
        <v>1185</v>
      </c>
      <c r="D171" s="199">
        <v>115000.0</v>
      </c>
      <c r="E171" s="200">
        <f t="shared" si="1"/>
        <v>132250</v>
      </c>
    </row>
    <row r="172" ht="22.5" customHeight="1">
      <c r="A172" s="201"/>
      <c r="B172" s="203"/>
      <c r="C172" s="209" t="s">
        <v>1186</v>
      </c>
      <c r="D172" s="199">
        <v>75000.0</v>
      </c>
      <c r="E172" s="200">
        <f t="shared" si="1"/>
        <v>86250</v>
      </c>
    </row>
    <row r="173" ht="22.5" customHeight="1">
      <c r="A173" s="196" t="s">
        <v>622</v>
      </c>
      <c r="B173" s="204" t="s">
        <v>1230</v>
      </c>
      <c r="C173" s="212" t="s">
        <v>1218</v>
      </c>
      <c r="D173" s="199">
        <v>250000.0</v>
      </c>
      <c r="E173" s="200">
        <f t="shared" si="1"/>
        <v>287500</v>
      </c>
    </row>
    <row r="174" ht="22.5" customHeight="1">
      <c r="A174" s="201"/>
      <c r="B174" s="203"/>
      <c r="C174" s="210" t="s">
        <v>1205</v>
      </c>
      <c r="D174" s="199">
        <v>170000.0</v>
      </c>
      <c r="E174" s="200">
        <f t="shared" si="1"/>
        <v>195500</v>
      </c>
    </row>
    <row r="175" ht="22.5" customHeight="1">
      <c r="A175" s="201"/>
      <c r="B175" s="203"/>
      <c r="C175" s="209" t="s">
        <v>1184</v>
      </c>
      <c r="D175" s="199">
        <v>130000.0</v>
      </c>
      <c r="E175" s="200">
        <f t="shared" si="1"/>
        <v>149500</v>
      </c>
    </row>
    <row r="176" ht="22.5" customHeight="1">
      <c r="A176" s="201"/>
      <c r="B176" s="203"/>
      <c r="C176" s="207" t="s">
        <v>1185</v>
      </c>
      <c r="D176" s="199">
        <v>110000.0</v>
      </c>
      <c r="E176" s="200">
        <f t="shared" si="1"/>
        <v>126500</v>
      </c>
    </row>
    <row r="177" ht="22.5" customHeight="1">
      <c r="A177" s="201"/>
      <c r="B177" s="203"/>
      <c r="C177" s="209" t="s">
        <v>1186</v>
      </c>
      <c r="D177" s="199">
        <v>89000.0</v>
      </c>
      <c r="E177" s="200">
        <f t="shared" si="1"/>
        <v>102350</v>
      </c>
    </row>
    <row r="178" ht="22.5" customHeight="1">
      <c r="A178" s="196" t="s">
        <v>622</v>
      </c>
      <c r="B178" s="204" t="s">
        <v>1231</v>
      </c>
      <c r="C178" s="207" t="s">
        <v>1183</v>
      </c>
      <c r="D178" s="206"/>
      <c r="E178" s="206">
        <f t="shared" si="1"/>
        <v>0</v>
      </c>
    </row>
    <row r="179" ht="22.5" customHeight="1">
      <c r="A179" s="201"/>
      <c r="B179" s="203"/>
      <c r="C179" s="209" t="s">
        <v>1184</v>
      </c>
      <c r="D179" s="206"/>
      <c r="E179" s="206">
        <f t="shared" si="1"/>
        <v>0</v>
      </c>
    </row>
    <row r="180" ht="22.5" customHeight="1">
      <c r="A180" s="213"/>
      <c r="B180" s="203"/>
      <c r="C180" s="207" t="s">
        <v>1185</v>
      </c>
      <c r="D180" s="206"/>
      <c r="E180" s="206">
        <f t="shared" si="1"/>
        <v>0</v>
      </c>
    </row>
    <row r="181" ht="22.5" customHeight="1">
      <c r="A181" s="213"/>
      <c r="B181" s="203"/>
      <c r="C181" s="209" t="s">
        <v>1186</v>
      </c>
      <c r="D181" s="199">
        <v>89000.0</v>
      </c>
      <c r="E181" s="200">
        <f t="shared" si="1"/>
        <v>102350</v>
      </c>
    </row>
    <row r="182" ht="22.5" customHeight="1">
      <c r="A182" s="196" t="s">
        <v>622</v>
      </c>
      <c r="B182" s="204" t="s">
        <v>1232</v>
      </c>
      <c r="C182" s="198" t="s">
        <v>1218</v>
      </c>
      <c r="D182" s="199">
        <v>440000.0</v>
      </c>
      <c r="E182" s="200">
        <f t="shared" si="1"/>
        <v>506000</v>
      </c>
    </row>
    <row r="183" ht="22.5" customHeight="1">
      <c r="A183" s="213"/>
      <c r="B183" s="203"/>
      <c r="C183" s="198" t="s">
        <v>1205</v>
      </c>
      <c r="D183" s="199">
        <v>370000.0</v>
      </c>
      <c r="E183" s="200">
        <f t="shared" si="1"/>
        <v>425500</v>
      </c>
    </row>
    <row r="184" ht="22.5" customHeight="1">
      <c r="A184" s="213"/>
      <c r="B184" s="203"/>
      <c r="C184" s="198" t="s">
        <v>1184</v>
      </c>
      <c r="D184" s="199">
        <v>120000.0</v>
      </c>
      <c r="E184" s="200">
        <f t="shared" si="1"/>
        <v>138000</v>
      </c>
    </row>
    <row r="185" ht="22.5" customHeight="1">
      <c r="A185" s="213"/>
      <c r="B185" s="203"/>
      <c r="C185" s="198" t="s">
        <v>1185</v>
      </c>
      <c r="D185" s="199">
        <v>90000.0</v>
      </c>
      <c r="E185" s="200">
        <f t="shared" si="1"/>
        <v>103500</v>
      </c>
    </row>
    <row r="186" ht="22.5" customHeight="1">
      <c r="A186" s="213"/>
      <c r="B186" s="203"/>
      <c r="C186" s="198" t="s">
        <v>1186</v>
      </c>
      <c r="D186" s="199">
        <v>70000.0</v>
      </c>
      <c r="E186" s="200">
        <f t="shared" si="1"/>
        <v>80500</v>
      </c>
    </row>
    <row r="187" ht="22.5" customHeight="1">
      <c r="A187" s="196" t="s">
        <v>622</v>
      </c>
      <c r="B187" s="204" t="s">
        <v>1233</v>
      </c>
      <c r="C187" s="198" t="s">
        <v>1218</v>
      </c>
      <c r="D187" s="199">
        <v>475000.0</v>
      </c>
      <c r="E187" s="200">
        <f t="shared" si="1"/>
        <v>546250</v>
      </c>
    </row>
    <row r="188" ht="22.5" customHeight="1">
      <c r="A188" s="201"/>
      <c r="B188" s="203"/>
      <c r="C188" s="198" t="s">
        <v>1184</v>
      </c>
      <c r="D188" s="199">
        <v>105000.0</v>
      </c>
      <c r="E188" s="200">
        <f t="shared" si="1"/>
        <v>120750</v>
      </c>
    </row>
    <row r="189" ht="22.5" customHeight="1">
      <c r="A189" s="201"/>
      <c r="B189" s="203"/>
      <c r="C189" s="198" t="s">
        <v>1185</v>
      </c>
      <c r="D189" s="199">
        <v>95000.0</v>
      </c>
      <c r="E189" s="200">
        <f t="shared" si="1"/>
        <v>109250</v>
      </c>
    </row>
    <row r="190" ht="22.5" customHeight="1">
      <c r="A190" s="201"/>
      <c r="B190" s="203"/>
      <c r="C190" s="198" t="s">
        <v>1186</v>
      </c>
      <c r="D190" s="199">
        <v>70000.0</v>
      </c>
      <c r="E190" s="200">
        <f t="shared" si="1"/>
        <v>80500</v>
      </c>
    </row>
    <row r="191" ht="22.5" customHeight="1">
      <c r="A191" s="196" t="s">
        <v>622</v>
      </c>
      <c r="B191" s="204" t="s">
        <v>1234</v>
      </c>
      <c r="C191" s="198" t="s">
        <v>1218</v>
      </c>
      <c r="D191" s="199">
        <v>400000.0</v>
      </c>
      <c r="E191" s="200">
        <f t="shared" si="1"/>
        <v>460000</v>
      </c>
    </row>
    <row r="192" ht="22.5" customHeight="1">
      <c r="A192" s="201"/>
      <c r="B192" s="203"/>
      <c r="C192" s="198" t="s">
        <v>1184</v>
      </c>
      <c r="D192" s="199">
        <v>105000.0</v>
      </c>
      <c r="E192" s="200">
        <f t="shared" si="1"/>
        <v>120750</v>
      </c>
    </row>
    <row r="193" ht="22.5" customHeight="1">
      <c r="A193" s="201"/>
      <c r="B193" s="203"/>
      <c r="C193" s="198" t="s">
        <v>1185</v>
      </c>
      <c r="D193" s="199">
        <v>98000.0</v>
      </c>
      <c r="E193" s="200">
        <f t="shared" si="1"/>
        <v>112700</v>
      </c>
    </row>
    <row r="194" ht="22.5" customHeight="1">
      <c r="A194" s="201"/>
      <c r="B194" s="203"/>
      <c r="C194" s="198" t="s">
        <v>1186</v>
      </c>
      <c r="D194" s="199">
        <v>70000.0</v>
      </c>
      <c r="E194" s="200">
        <f t="shared" si="1"/>
        <v>80500</v>
      </c>
    </row>
    <row r="195" ht="22.5" customHeight="1">
      <c r="A195" s="196" t="s">
        <v>622</v>
      </c>
      <c r="B195" s="204" t="s">
        <v>1235</v>
      </c>
      <c r="C195" s="198" t="s">
        <v>1218</v>
      </c>
      <c r="D195" s="199">
        <v>630000.0</v>
      </c>
      <c r="E195" s="200">
        <f t="shared" si="1"/>
        <v>724500</v>
      </c>
    </row>
    <row r="196" ht="22.5" customHeight="1">
      <c r="A196" s="201"/>
      <c r="B196" s="203"/>
      <c r="C196" s="214" t="s">
        <v>1183</v>
      </c>
      <c r="D196" s="199">
        <v>530000.0</v>
      </c>
      <c r="E196" s="200">
        <f t="shared" si="1"/>
        <v>609500</v>
      </c>
    </row>
    <row r="197" ht="22.5" customHeight="1">
      <c r="A197" s="201"/>
      <c r="B197" s="203"/>
      <c r="C197" s="214" t="s">
        <v>1184</v>
      </c>
      <c r="D197" s="199">
        <v>150000.0</v>
      </c>
      <c r="E197" s="200">
        <f t="shared" si="1"/>
        <v>172500</v>
      </c>
    </row>
    <row r="198" ht="22.5" customHeight="1">
      <c r="A198" s="201"/>
      <c r="B198" s="203"/>
      <c r="C198" s="214" t="s">
        <v>1185</v>
      </c>
      <c r="D198" s="199">
        <v>120000.0</v>
      </c>
      <c r="E198" s="200">
        <f t="shared" si="1"/>
        <v>138000</v>
      </c>
    </row>
    <row r="199" ht="22.5" customHeight="1">
      <c r="A199" s="201"/>
      <c r="B199" s="203"/>
      <c r="C199" s="214" t="s">
        <v>1236</v>
      </c>
      <c r="D199" s="199">
        <v>110000.0</v>
      </c>
      <c r="E199" s="200">
        <f t="shared" si="1"/>
        <v>126500</v>
      </c>
    </row>
    <row r="200" ht="22.5" customHeight="1">
      <c r="A200" s="196" t="s">
        <v>622</v>
      </c>
      <c r="B200" s="204" t="s">
        <v>1237</v>
      </c>
      <c r="C200" s="198" t="s">
        <v>1218</v>
      </c>
      <c r="D200" s="199">
        <v>650000.0</v>
      </c>
      <c r="E200" s="200">
        <f t="shared" si="1"/>
        <v>747500</v>
      </c>
    </row>
    <row r="201" ht="22.5" customHeight="1">
      <c r="A201" s="201"/>
      <c r="B201" s="203"/>
      <c r="C201" s="198" t="s">
        <v>1184</v>
      </c>
      <c r="D201" s="199">
        <v>150000.0</v>
      </c>
      <c r="E201" s="200">
        <f t="shared" si="1"/>
        <v>172500</v>
      </c>
    </row>
    <row r="202" ht="22.5" customHeight="1">
      <c r="A202" s="201"/>
      <c r="B202" s="203"/>
      <c r="C202" s="198" t="s">
        <v>1185</v>
      </c>
      <c r="D202" s="199">
        <v>120000.0</v>
      </c>
      <c r="E202" s="200">
        <f t="shared" si="1"/>
        <v>138000</v>
      </c>
    </row>
    <row r="203" ht="22.5" customHeight="1">
      <c r="A203" s="201"/>
      <c r="B203" s="203"/>
      <c r="C203" s="198" t="s">
        <v>1236</v>
      </c>
      <c r="D203" s="199">
        <v>110000.0</v>
      </c>
      <c r="E203" s="200">
        <f t="shared" si="1"/>
        <v>126500</v>
      </c>
    </row>
    <row r="204" ht="22.5" customHeight="1">
      <c r="A204" s="196" t="s">
        <v>622</v>
      </c>
      <c r="B204" s="204" t="s">
        <v>1238</v>
      </c>
      <c r="C204" s="198" t="s">
        <v>1218</v>
      </c>
      <c r="D204" s="199">
        <v>310000.0</v>
      </c>
      <c r="E204" s="200">
        <f t="shared" si="1"/>
        <v>356500</v>
      </c>
    </row>
    <row r="205" ht="22.5" customHeight="1">
      <c r="A205" s="201"/>
      <c r="B205" s="203"/>
      <c r="C205" s="198" t="s">
        <v>1184</v>
      </c>
      <c r="D205" s="199">
        <v>110000.0</v>
      </c>
      <c r="E205" s="200">
        <f t="shared" si="1"/>
        <v>126500</v>
      </c>
    </row>
    <row r="206" ht="22.5" customHeight="1">
      <c r="A206" s="201"/>
      <c r="B206" s="203"/>
      <c r="C206" s="198" t="s">
        <v>1185</v>
      </c>
      <c r="D206" s="199">
        <v>98000.0</v>
      </c>
      <c r="E206" s="200">
        <f t="shared" si="1"/>
        <v>112700</v>
      </c>
    </row>
    <row r="207" ht="22.5" customHeight="1">
      <c r="A207" s="201"/>
      <c r="B207" s="203"/>
      <c r="C207" s="198" t="s">
        <v>1236</v>
      </c>
      <c r="D207" s="199">
        <v>90000.0</v>
      </c>
      <c r="E207" s="200">
        <f t="shared" si="1"/>
        <v>103500</v>
      </c>
    </row>
    <row r="208" ht="22.5" customHeight="1">
      <c r="A208" s="196" t="s">
        <v>622</v>
      </c>
      <c r="B208" s="204" t="s">
        <v>1239</v>
      </c>
      <c r="C208" s="198" t="s">
        <v>1218</v>
      </c>
      <c r="D208" s="199">
        <v>760000.0</v>
      </c>
      <c r="E208" s="200">
        <f t="shared" si="1"/>
        <v>874000</v>
      </c>
    </row>
    <row r="209" ht="22.5" customHeight="1">
      <c r="A209" s="201"/>
      <c r="B209" s="203"/>
      <c r="C209" s="198" t="s">
        <v>1184</v>
      </c>
      <c r="D209" s="199">
        <v>150000.0</v>
      </c>
      <c r="E209" s="200">
        <f t="shared" si="1"/>
        <v>172500</v>
      </c>
    </row>
    <row r="210" ht="22.5" customHeight="1">
      <c r="A210" s="201"/>
      <c r="B210" s="203"/>
      <c r="C210" s="198" t="s">
        <v>1185</v>
      </c>
      <c r="D210" s="199">
        <v>120000.0</v>
      </c>
      <c r="E210" s="200">
        <f t="shared" si="1"/>
        <v>138000</v>
      </c>
    </row>
    <row r="211" ht="22.5" customHeight="1">
      <c r="A211" s="201"/>
      <c r="B211" s="203"/>
      <c r="C211" s="198" t="s">
        <v>1236</v>
      </c>
      <c r="D211" s="199">
        <v>110000.0</v>
      </c>
      <c r="E211" s="200">
        <f t="shared" si="1"/>
        <v>126500</v>
      </c>
    </row>
    <row r="212" ht="22.5" customHeight="1">
      <c r="A212" s="196" t="s">
        <v>622</v>
      </c>
      <c r="B212" s="204" t="s">
        <v>1240</v>
      </c>
      <c r="C212" s="198" t="s">
        <v>1218</v>
      </c>
      <c r="D212" s="199">
        <v>475000.0</v>
      </c>
      <c r="E212" s="200">
        <f t="shared" si="1"/>
        <v>546250</v>
      </c>
    </row>
    <row r="213" ht="22.5" customHeight="1">
      <c r="A213" s="201"/>
      <c r="B213" s="203"/>
      <c r="C213" s="198" t="s">
        <v>1205</v>
      </c>
      <c r="D213" s="199">
        <v>380000.0</v>
      </c>
      <c r="E213" s="200">
        <f t="shared" si="1"/>
        <v>437000</v>
      </c>
    </row>
    <row r="214" ht="22.5" customHeight="1">
      <c r="A214" s="201"/>
      <c r="B214" s="203"/>
      <c r="C214" s="198" t="s">
        <v>1184</v>
      </c>
      <c r="D214" s="199">
        <v>120000.0</v>
      </c>
      <c r="E214" s="200">
        <f t="shared" si="1"/>
        <v>138000</v>
      </c>
    </row>
    <row r="215" ht="22.5" customHeight="1">
      <c r="A215" s="201"/>
      <c r="B215" s="203"/>
      <c r="C215" s="198" t="s">
        <v>1185</v>
      </c>
      <c r="D215" s="199">
        <v>110000.0</v>
      </c>
      <c r="E215" s="200">
        <f t="shared" si="1"/>
        <v>126500</v>
      </c>
    </row>
    <row r="216" ht="22.5" customHeight="1">
      <c r="A216" s="201"/>
      <c r="B216" s="203"/>
      <c r="C216" s="198" t="s">
        <v>1236</v>
      </c>
      <c r="D216" s="199">
        <v>110000.0</v>
      </c>
      <c r="E216" s="200">
        <f t="shared" si="1"/>
        <v>126500</v>
      </c>
    </row>
    <row r="217" ht="22.5" customHeight="1">
      <c r="A217" s="196" t="s">
        <v>622</v>
      </c>
      <c r="B217" s="204" t="s">
        <v>1241</v>
      </c>
      <c r="C217" s="198" t="s">
        <v>1218</v>
      </c>
      <c r="D217" s="199">
        <v>310000.0</v>
      </c>
      <c r="E217" s="200">
        <f t="shared" si="1"/>
        <v>356500</v>
      </c>
    </row>
    <row r="218" ht="22.5" customHeight="1">
      <c r="A218" s="201"/>
      <c r="B218" s="203"/>
      <c r="C218" s="198" t="s">
        <v>1183</v>
      </c>
      <c r="D218" s="199">
        <v>459000.0</v>
      </c>
      <c r="E218" s="200">
        <f t="shared" si="1"/>
        <v>527850</v>
      </c>
    </row>
    <row r="219" ht="22.5" customHeight="1">
      <c r="A219" s="201"/>
      <c r="B219" s="203"/>
      <c r="C219" s="198" t="s">
        <v>1184</v>
      </c>
      <c r="D219" s="199">
        <v>120000.0</v>
      </c>
      <c r="E219" s="200">
        <f t="shared" si="1"/>
        <v>138000</v>
      </c>
    </row>
    <row r="220" ht="22.5" customHeight="1">
      <c r="A220" s="201"/>
      <c r="B220" s="203"/>
      <c r="C220" s="198" t="s">
        <v>1185</v>
      </c>
      <c r="D220" s="199">
        <v>108000.0</v>
      </c>
      <c r="E220" s="200">
        <f t="shared" si="1"/>
        <v>124200</v>
      </c>
    </row>
    <row r="221" ht="22.5" customHeight="1">
      <c r="A221" s="201"/>
      <c r="B221" s="203"/>
      <c r="C221" s="198" t="s">
        <v>1236</v>
      </c>
      <c r="D221" s="199">
        <v>100000.0</v>
      </c>
      <c r="E221" s="200">
        <f t="shared" si="1"/>
        <v>115000</v>
      </c>
    </row>
    <row r="222" ht="22.5" customHeight="1">
      <c r="A222" s="196" t="s">
        <v>622</v>
      </c>
      <c r="B222" s="204" t="s">
        <v>1242</v>
      </c>
      <c r="C222" s="198" t="s">
        <v>1218</v>
      </c>
      <c r="D222" s="199">
        <v>430000.0</v>
      </c>
      <c r="E222" s="200">
        <f t="shared" si="1"/>
        <v>494500</v>
      </c>
    </row>
    <row r="223" ht="22.5" customHeight="1">
      <c r="A223" s="201"/>
      <c r="B223" s="203"/>
      <c r="C223" s="198" t="s">
        <v>1184</v>
      </c>
      <c r="D223" s="199">
        <v>120000.0</v>
      </c>
      <c r="E223" s="200">
        <f t="shared" si="1"/>
        <v>138000</v>
      </c>
    </row>
    <row r="224" ht="22.5" customHeight="1">
      <c r="A224" s="201"/>
      <c r="B224" s="203"/>
      <c r="C224" s="198" t="s">
        <v>1185</v>
      </c>
      <c r="D224" s="199">
        <v>108000.0</v>
      </c>
      <c r="E224" s="200">
        <f t="shared" si="1"/>
        <v>124200</v>
      </c>
    </row>
    <row r="225" ht="22.5" customHeight="1">
      <c r="A225" s="201"/>
      <c r="B225" s="203"/>
      <c r="C225" s="198" t="s">
        <v>1236</v>
      </c>
      <c r="D225" s="199">
        <v>115000.0</v>
      </c>
      <c r="E225" s="200">
        <f t="shared" si="1"/>
        <v>132250</v>
      </c>
    </row>
    <row r="226" ht="22.5" customHeight="1">
      <c r="A226" s="196" t="s">
        <v>622</v>
      </c>
      <c r="B226" s="204" t="s">
        <v>1243</v>
      </c>
      <c r="C226" s="198" t="s">
        <v>1218</v>
      </c>
      <c r="D226" s="199">
        <v>670000.0</v>
      </c>
      <c r="E226" s="200">
        <f t="shared" si="1"/>
        <v>770500</v>
      </c>
    </row>
    <row r="227" ht="22.5" customHeight="1">
      <c r="A227" s="201"/>
      <c r="B227" s="203"/>
      <c r="C227" s="198" t="s">
        <v>1205</v>
      </c>
      <c r="D227" s="199">
        <v>551000.0</v>
      </c>
      <c r="E227" s="200">
        <f t="shared" si="1"/>
        <v>633650</v>
      </c>
    </row>
    <row r="228" ht="22.5" customHeight="1">
      <c r="A228" s="201"/>
      <c r="B228" s="203"/>
      <c r="C228" s="198" t="s">
        <v>1184</v>
      </c>
      <c r="D228" s="199">
        <v>120000.0</v>
      </c>
      <c r="E228" s="200">
        <f t="shared" si="1"/>
        <v>138000</v>
      </c>
    </row>
    <row r="229" ht="22.5" customHeight="1">
      <c r="A229" s="201"/>
      <c r="B229" s="203"/>
      <c r="C229" s="198" t="s">
        <v>1185</v>
      </c>
      <c r="D229" s="199">
        <v>110000.0</v>
      </c>
      <c r="E229" s="200">
        <f t="shared" si="1"/>
        <v>126500</v>
      </c>
    </row>
    <row r="230" ht="22.5" customHeight="1">
      <c r="A230" s="201"/>
      <c r="B230" s="203"/>
      <c r="C230" s="198" t="s">
        <v>1236</v>
      </c>
      <c r="D230" s="199">
        <v>115000.0</v>
      </c>
      <c r="E230" s="200">
        <f t="shared" si="1"/>
        <v>132250</v>
      </c>
    </row>
    <row r="231" ht="22.5" customHeight="1">
      <c r="A231" s="196" t="s">
        <v>622</v>
      </c>
      <c r="B231" s="204" t="s">
        <v>1244</v>
      </c>
      <c r="C231" s="198" t="s">
        <v>1218</v>
      </c>
      <c r="D231" s="199">
        <v>570000.0</v>
      </c>
      <c r="E231" s="200">
        <f t="shared" si="1"/>
        <v>655500</v>
      </c>
    </row>
    <row r="232" ht="22.5" customHeight="1">
      <c r="A232" s="201"/>
      <c r="B232" s="203"/>
      <c r="C232" s="198" t="s">
        <v>1205</v>
      </c>
      <c r="D232" s="199">
        <v>481000.0</v>
      </c>
      <c r="E232" s="200">
        <f t="shared" si="1"/>
        <v>553150</v>
      </c>
    </row>
    <row r="233" ht="22.5" customHeight="1">
      <c r="A233" s="201"/>
      <c r="B233" s="203"/>
      <c r="C233" s="198" t="s">
        <v>1184</v>
      </c>
      <c r="D233" s="199">
        <v>120000.0</v>
      </c>
      <c r="E233" s="200">
        <f t="shared" si="1"/>
        <v>138000</v>
      </c>
    </row>
    <row r="234" ht="22.5" customHeight="1">
      <c r="A234" s="201"/>
      <c r="B234" s="203"/>
      <c r="C234" s="198" t="s">
        <v>1185</v>
      </c>
      <c r="D234" s="199">
        <v>110000.0</v>
      </c>
      <c r="E234" s="200">
        <f t="shared" si="1"/>
        <v>126500</v>
      </c>
    </row>
    <row r="235" ht="22.5" customHeight="1">
      <c r="A235" s="201"/>
      <c r="B235" s="203"/>
      <c r="C235" s="198" t="s">
        <v>1236</v>
      </c>
      <c r="D235" s="199">
        <v>130000.0</v>
      </c>
      <c r="E235" s="200">
        <f t="shared" si="1"/>
        <v>149500</v>
      </c>
    </row>
    <row r="236" ht="22.5" customHeight="1">
      <c r="A236" s="196" t="s">
        <v>622</v>
      </c>
      <c r="B236" s="204" t="s">
        <v>1245</v>
      </c>
      <c r="C236" s="198" t="s">
        <v>1218</v>
      </c>
      <c r="D236" s="199">
        <v>415000.0</v>
      </c>
      <c r="E236" s="200">
        <f t="shared" si="1"/>
        <v>477250</v>
      </c>
    </row>
    <row r="237" ht="22.5" customHeight="1">
      <c r="A237" s="201"/>
      <c r="B237" s="203"/>
      <c r="C237" s="198" t="s">
        <v>1184</v>
      </c>
      <c r="D237" s="206"/>
      <c r="E237" s="206">
        <f t="shared" si="1"/>
        <v>0</v>
      </c>
    </row>
    <row r="238" ht="22.5" customHeight="1">
      <c r="A238" s="201"/>
      <c r="B238" s="203"/>
      <c r="C238" s="198" t="s">
        <v>1185</v>
      </c>
      <c r="D238" s="206"/>
      <c r="E238" s="206">
        <f t="shared" si="1"/>
        <v>0</v>
      </c>
    </row>
    <row r="239" ht="22.5" customHeight="1">
      <c r="A239" s="201"/>
      <c r="B239" s="203"/>
      <c r="C239" s="198" t="s">
        <v>1236</v>
      </c>
      <c r="D239" s="199">
        <v>130000.0</v>
      </c>
      <c r="E239" s="200">
        <f t="shared" si="1"/>
        <v>149500</v>
      </c>
    </row>
    <row r="240" ht="22.5" customHeight="1">
      <c r="A240" s="196" t="s">
        <v>622</v>
      </c>
      <c r="B240" s="204" t="s">
        <v>1246</v>
      </c>
      <c r="C240" s="198" t="s">
        <v>1218</v>
      </c>
      <c r="D240" s="199">
        <v>655000.0</v>
      </c>
      <c r="E240" s="200">
        <f t="shared" si="1"/>
        <v>753250</v>
      </c>
    </row>
    <row r="241" ht="22.5" customHeight="1">
      <c r="A241" s="201"/>
      <c r="B241" s="203"/>
      <c r="C241" s="198" t="s">
        <v>1184</v>
      </c>
      <c r="D241" s="199">
        <v>130000.0</v>
      </c>
      <c r="E241" s="200">
        <f t="shared" si="1"/>
        <v>149500</v>
      </c>
    </row>
    <row r="242" ht="22.5" customHeight="1">
      <c r="A242" s="201"/>
      <c r="B242" s="203"/>
      <c r="C242" s="198" t="s">
        <v>1185</v>
      </c>
      <c r="D242" s="199">
        <v>110000.0</v>
      </c>
      <c r="E242" s="200">
        <f t="shared" si="1"/>
        <v>126500</v>
      </c>
    </row>
    <row r="243" ht="22.5" customHeight="1">
      <c r="A243" s="201"/>
      <c r="B243" s="203"/>
      <c r="C243" s="198" t="s">
        <v>1236</v>
      </c>
      <c r="D243" s="199">
        <v>130000.0</v>
      </c>
      <c r="E243" s="200">
        <f t="shared" si="1"/>
        <v>149500</v>
      </c>
    </row>
    <row r="244" ht="22.5" customHeight="1">
      <c r="A244" s="196" t="s">
        <v>622</v>
      </c>
      <c r="B244" s="204" t="s">
        <v>1247</v>
      </c>
      <c r="C244" s="198" t="s">
        <v>1218</v>
      </c>
      <c r="D244" s="199">
        <v>430000.0</v>
      </c>
      <c r="E244" s="200">
        <f t="shared" si="1"/>
        <v>494500</v>
      </c>
    </row>
    <row r="245" ht="22.5" customHeight="1">
      <c r="A245" s="201"/>
      <c r="B245" s="203"/>
      <c r="C245" s="198" t="s">
        <v>1184</v>
      </c>
      <c r="D245" s="199">
        <v>130000.0</v>
      </c>
      <c r="E245" s="200">
        <f t="shared" si="1"/>
        <v>149500</v>
      </c>
    </row>
    <row r="246" ht="22.5" customHeight="1">
      <c r="A246" s="201"/>
      <c r="B246" s="203"/>
      <c r="C246" s="198" t="s">
        <v>1185</v>
      </c>
      <c r="D246" s="199">
        <v>110000.0</v>
      </c>
      <c r="E246" s="200">
        <f t="shared" si="1"/>
        <v>126500</v>
      </c>
    </row>
    <row r="247" ht="22.5" customHeight="1">
      <c r="A247" s="201"/>
      <c r="B247" s="203"/>
      <c r="C247" s="198" t="s">
        <v>1236</v>
      </c>
      <c r="D247" s="199">
        <v>130000.0</v>
      </c>
      <c r="E247" s="200">
        <f t="shared" si="1"/>
        <v>149500</v>
      </c>
    </row>
    <row r="248" ht="22.5" customHeight="1">
      <c r="A248" s="196" t="s">
        <v>622</v>
      </c>
      <c r="B248" s="204" t="s">
        <v>1248</v>
      </c>
      <c r="C248" s="198" t="s">
        <v>1218</v>
      </c>
      <c r="D248" s="199">
        <v>470000.0</v>
      </c>
      <c r="E248" s="200">
        <f t="shared" si="1"/>
        <v>540500</v>
      </c>
    </row>
    <row r="249" ht="22.5" customHeight="1">
      <c r="A249" s="201"/>
      <c r="B249" s="203"/>
      <c r="C249" s="198" t="s">
        <v>1205</v>
      </c>
      <c r="D249" s="199">
        <v>470000.0</v>
      </c>
      <c r="E249" s="200">
        <f t="shared" si="1"/>
        <v>540500</v>
      </c>
    </row>
    <row r="250" ht="22.5" customHeight="1">
      <c r="A250" s="201"/>
      <c r="B250" s="203"/>
      <c r="C250" s="198" t="s">
        <v>1184</v>
      </c>
      <c r="D250" s="199">
        <v>150000.0</v>
      </c>
      <c r="E250" s="200">
        <f t="shared" si="1"/>
        <v>172500</v>
      </c>
    </row>
    <row r="251" ht="22.5" customHeight="1">
      <c r="A251" s="201"/>
      <c r="B251" s="203"/>
      <c r="C251" s="198" t="s">
        <v>1185</v>
      </c>
      <c r="D251" s="199">
        <v>130000.0</v>
      </c>
      <c r="E251" s="200">
        <f t="shared" si="1"/>
        <v>149500</v>
      </c>
    </row>
    <row r="252" ht="22.5" customHeight="1">
      <c r="A252" s="201"/>
      <c r="B252" s="203"/>
      <c r="C252" s="198" t="s">
        <v>1236</v>
      </c>
      <c r="D252" s="199">
        <v>170000.0</v>
      </c>
      <c r="E252" s="200">
        <f t="shared" si="1"/>
        <v>195500</v>
      </c>
    </row>
    <row r="253" ht="22.5" customHeight="1">
      <c r="A253" s="196" t="s">
        <v>622</v>
      </c>
      <c r="B253" s="204" t="s">
        <v>1249</v>
      </c>
      <c r="C253" s="198" t="s">
        <v>1218</v>
      </c>
      <c r="D253" s="199">
        <v>280000.0</v>
      </c>
      <c r="E253" s="200">
        <f t="shared" si="1"/>
        <v>322000</v>
      </c>
    </row>
    <row r="254" ht="22.5" customHeight="1">
      <c r="A254" s="201"/>
      <c r="B254" s="203"/>
      <c r="C254" s="198" t="s">
        <v>1205</v>
      </c>
      <c r="D254" s="199">
        <v>220000.0</v>
      </c>
      <c r="E254" s="200">
        <f t="shared" si="1"/>
        <v>253000</v>
      </c>
    </row>
    <row r="255" ht="22.5" customHeight="1">
      <c r="A255" s="201"/>
      <c r="B255" s="203"/>
      <c r="C255" s="198" t="s">
        <v>1184</v>
      </c>
      <c r="D255" s="199">
        <v>110000.0</v>
      </c>
      <c r="E255" s="200">
        <f t="shared" si="1"/>
        <v>126500</v>
      </c>
    </row>
    <row r="256" ht="22.5" customHeight="1">
      <c r="A256" s="201"/>
      <c r="B256" s="203"/>
      <c r="C256" s="198" t="s">
        <v>1185</v>
      </c>
      <c r="D256" s="199">
        <v>100000.0</v>
      </c>
      <c r="E256" s="200">
        <f t="shared" si="1"/>
        <v>115000</v>
      </c>
    </row>
    <row r="257" ht="22.5" customHeight="1">
      <c r="A257" s="201"/>
      <c r="B257" s="203"/>
      <c r="C257" s="198" t="s">
        <v>1186</v>
      </c>
      <c r="D257" s="199">
        <v>100000.0</v>
      </c>
      <c r="E257" s="200">
        <f t="shared" si="1"/>
        <v>115000</v>
      </c>
    </row>
    <row r="258" ht="22.5" customHeight="1">
      <c r="A258" s="196" t="s">
        <v>622</v>
      </c>
      <c r="B258" s="204" t="s">
        <v>1250</v>
      </c>
      <c r="C258" s="198" t="s">
        <v>1218</v>
      </c>
      <c r="D258" s="199">
        <v>645000.0</v>
      </c>
      <c r="E258" s="200">
        <f t="shared" si="1"/>
        <v>741750</v>
      </c>
    </row>
    <row r="259" ht="22.5" customHeight="1">
      <c r="A259" s="201"/>
      <c r="B259" s="203"/>
      <c r="C259" s="198" t="s">
        <v>1184</v>
      </c>
      <c r="D259" s="199">
        <v>150000.0</v>
      </c>
      <c r="E259" s="200">
        <f t="shared" si="1"/>
        <v>172500</v>
      </c>
    </row>
    <row r="260" ht="22.5" customHeight="1">
      <c r="A260" s="201"/>
      <c r="B260" s="203"/>
      <c r="C260" s="198" t="s">
        <v>1185</v>
      </c>
      <c r="D260" s="199">
        <v>130000.0</v>
      </c>
      <c r="E260" s="200">
        <f t="shared" si="1"/>
        <v>149500</v>
      </c>
    </row>
    <row r="261" ht="22.5" customHeight="1">
      <c r="A261" s="201"/>
      <c r="B261" s="203"/>
      <c r="C261" s="198" t="s">
        <v>1236</v>
      </c>
      <c r="D261" s="199">
        <v>130000.0</v>
      </c>
      <c r="E261" s="200">
        <f t="shared" si="1"/>
        <v>149500</v>
      </c>
    </row>
    <row r="262" ht="22.5" customHeight="1">
      <c r="A262" s="196" t="s">
        <v>622</v>
      </c>
      <c r="B262" s="204" t="s">
        <v>1251</v>
      </c>
      <c r="C262" s="198" t="s">
        <v>1218</v>
      </c>
      <c r="D262" s="199">
        <v>400000.0</v>
      </c>
      <c r="E262" s="200">
        <f t="shared" si="1"/>
        <v>460000</v>
      </c>
    </row>
    <row r="263" ht="22.5" customHeight="1">
      <c r="A263" s="201"/>
      <c r="B263" s="203"/>
      <c r="C263" s="198" t="s">
        <v>1184</v>
      </c>
      <c r="D263" s="199">
        <v>150000.0</v>
      </c>
      <c r="E263" s="200">
        <f t="shared" si="1"/>
        <v>172500</v>
      </c>
    </row>
    <row r="264" ht="22.5" customHeight="1">
      <c r="A264" s="201"/>
      <c r="B264" s="203"/>
      <c r="C264" s="198" t="s">
        <v>1185</v>
      </c>
      <c r="D264" s="199">
        <v>130000.0</v>
      </c>
      <c r="E264" s="200">
        <f t="shared" si="1"/>
        <v>149500</v>
      </c>
    </row>
    <row r="265" ht="22.5" customHeight="1">
      <c r="A265" s="201"/>
      <c r="B265" s="203"/>
      <c r="C265" s="198" t="s">
        <v>1236</v>
      </c>
      <c r="D265" s="199">
        <v>130000.0</v>
      </c>
      <c r="E265" s="200">
        <f t="shared" si="1"/>
        <v>149500</v>
      </c>
    </row>
    <row r="266" ht="22.5" customHeight="1">
      <c r="A266" s="196" t="s">
        <v>622</v>
      </c>
      <c r="B266" s="204" t="s">
        <v>1252</v>
      </c>
      <c r="C266" s="198" t="s">
        <v>1218</v>
      </c>
      <c r="D266" s="199">
        <v>480000.0</v>
      </c>
      <c r="E266" s="200">
        <f t="shared" si="1"/>
        <v>552000</v>
      </c>
    </row>
    <row r="267" ht="22.5" customHeight="1">
      <c r="A267" s="213"/>
      <c r="B267" s="203"/>
      <c r="C267" s="198" t="s">
        <v>1184</v>
      </c>
      <c r="D267" s="199">
        <v>150000.0</v>
      </c>
      <c r="E267" s="200">
        <f t="shared" si="1"/>
        <v>172500</v>
      </c>
    </row>
    <row r="268" ht="22.5" customHeight="1">
      <c r="A268" s="213"/>
      <c r="B268" s="203"/>
      <c r="C268" s="198" t="s">
        <v>1185</v>
      </c>
      <c r="D268" s="199">
        <v>130000.0</v>
      </c>
      <c r="E268" s="200">
        <f t="shared" si="1"/>
        <v>149500</v>
      </c>
    </row>
    <row r="269" ht="22.5" customHeight="1">
      <c r="A269" s="213"/>
      <c r="B269" s="203"/>
      <c r="C269" s="198" t="s">
        <v>1236</v>
      </c>
      <c r="D269" s="199">
        <v>130000.0</v>
      </c>
      <c r="E269" s="200">
        <f t="shared" si="1"/>
        <v>149500</v>
      </c>
    </row>
    <row r="270" ht="22.5" customHeight="1">
      <c r="A270" s="196" t="s">
        <v>622</v>
      </c>
      <c r="B270" s="204" t="s">
        <v>1253</v>
      </c>
      <c r="C270" s="198" t="s">
        <v>1218</v>
      </c>
      <c r="D270" s="199">
        <v>350000.0</v>
      </c>
      <c r="E270" s="200">
        <f t="shared" si="1"/>
        <v>402500</v>
      </c>
    </row>
    <row r="271" ht="22.5" customHeight="1">
      <c r="A271" s="213"/>
      <c r="B271" s="203"/>
      <c r="C271" s="198" t="s">
        <v>1184</v>
      </c>
      <c r="D271" s="199">
        <v>150000.0</v>
      </c>
      <c r="E271" s="200">
        <f t="shared" si="1"/>
        <v>172500</v>
      </c>
    </row>
    <row r="272" ht="22.5" customHeight="1">
      <c r="A272" s="213"/>
      <c r="B272" s="203"/>
      <c r="C272" s="198" t="s">
        <v>1185</v>
      </c>
      <c r="D272" s="199">
        <v>130000.0</v>
      </c>
      <c r="E272" s="200">
        <f t="shared" si="1"/>
        <v>149500</v>
      </c>
    </row>
    <row r="273" ht="22.5" customHeight="1">
      <c r="A273" s="213"/>
      <c r="B273" s="203"/>
      <c r="C273" s="198" t="s">
        <v>1236</v>
      </c>
      <c r="D273" s="199">
        <v>120000.0</v>
      </c>
      <c r="E273" s="200">
        <f t="shared" si="1"/>
        <v>138000</v>
      </c>
    </row>
    <row r="274" ht="22.5" customHeight="1">
      <c r="A274" s="196" t="s">
        <v>622</v>
      </c>
      <c r="B274" s="204" t="s">
        <v>1254</v>
      </c>
      <c r="C274" s="198" t="s">
        <v>1218</v>
      </c>
      <c r="D274" s="199">
        <v>770000.0</v>
      </c>
      <c r="E274" s="200">
        <f t="shared" si="1"/>
        <v>885500</v>
      </c>
    </row>
    <row r="275" ht="22.5" customHeight="1">
      <c r="A275" s="213"/>
      <c r="B275" s="203"/>
      <c r="C275" s="198" t="s">
        <v>1184</v>
      </c>
      <c r="D275" s="199">
        <v>150000.0</v>
      </c>
      <c r="E275" s="200">
        <f t="shared" si="1"/>
        <v>172500</v>
      </c>
    </row>
    <row r="276" ht="22.5" customHeight="1">
      <c r="A276" s="213"/>
      <c r="B276" s="203"/>
      <c r="C276" s="198" t="s">
        <v>1185</v>
      </c>
      <c r="D276" s="199">
        <v>130000.0</v>
      </c>
      <c r="E276" s="200">
        <f t="shared" si="1"/>
        <v>149500</v>
      </c>
    </row>
    <row r="277" ht="22.5" customHeight="1">
      <c r="A277" s="213"/>
      <c r="B277" s="203"/>
      <c r="C277" s="198" t="s">
        <v>1236</v>
      </c>
      <c r="D277" s="199">
        <v>150000.0</v>
      </c>
      <c r="E277" s="200">
        <f t="shared" si="1"/>
        <v>172500</v>
      </c>
    </row>
    <row r="278" ht="22.5" customHeight="1">
      <c r="A278" s="196" t="s">
        <v>622</v>
      </c>
      <c r="B278" s="204" t="s">
        <v>1255</v>
      </c>
      <c r="C278" s="198" t="s">
        <v>1218</v>
      </c>
      <c r="D278" s="199">
        <v>400000.0</v>
      </c>
      <c r="E278" s="200">
        <f t="shared" si="1"/>
        <v>460000</v>
      </c>
    </row>
    <row r="279" ht="22.5" customHeight="1">
      <c r="A279" s="213"/>
      <c r="B279" s="203"/>
      <c r="C279" s="198" t="s">
        <v>1184</v>
      </c>
      <c r="D279" s="199">
        <v>150000.0</v>
      </c>
      <c r="E279" s="200">
        <f t="shared" si="1"/>
        <v>172500</v>
      </c>
    </row>
    <row r="280" ht="22.5" customHeight="1">
      <c r="A280" s="213"/>
      <c r="B280" s="203"/>
      <c r="C280" s="198" t="s">
        <v>1236</v>
      </c>
      <c r="D280" s="199">
        <v>150000.0</v>
      </c>
      <c r="E280" s="200">
        <f t="shared" si="1"/>
        <v>172500</v>
      </c>
    </row>
    <row r="281" ht="22.5" customHeight="1">
      <c r="A281" s="196" t="s">
        <v>622</v>
      </c>
      <c r="B281" s="204" t="s">
        <v>1256</v>
      </c>
      <c r="C281" s="198" t="s">
        <v>1218</v>
      </c>
      <c r="D281" s="199">
        <v>470000.0</v>
      </c>
      <c r="E281" s="200">
        <f t="shared" si="1"/>
        <v>540500</v>
      </c>
    </row>
    <row r="282" ht="22.5" customHeight="1">
      <c r="A282" s="213"/>
      <c r="B282" s="203"/>
      <c r="C282" s="198" t="s">
        <v>1184</v>
      </c>
      <c r="D282" s="199">
        <v>150000.0</v>
      </c>
      <c r="E282" s="200">
        <f t="shared" si="1"/>
        <v>172500</v>
      </c>
    </row>
    <row r="283" ht="22.5" customHeight="1">
      <c r="A283" s="213"/>
      <c r="B283" s="203"/>
      <c r="C283" s="198" t="s">
        <v>1236</v>
      </c>
      <c r="D283" s="199">
        <v>150000.0</v>
      </c>
      <c r="E283" s="200">
        <f t="shared" si="1"/>
        <v>172500</v>
      </c>
    </row>
    <row r="284" ht="22.5" customHeight="1">
      <c r="A284" s="196" t="s">
        <v>622</v>
      </c>
      <c r="B284" s="204" t="s">
        <v>1257</v>
      </c>
      <c r="C284" s="198" t="s">
        <v>1218</v>
      </c>
      <c r="D284" s="206"/>
      <c r="E284" s="206">
        <f t="shared" si="1"/>
        <v>0</v>
      </c>
    </row>
    <row r="285" ht="22.5" customHeight="1">
      <c r="A285" s="213"/>
      <c r="B285" s="203"/>
      <c r="C285" s="198" t="s">
        <v>1184</v>
      </c>
      <c r="D285" s="206"/>
      <c r="E285" s="206">
        <f t="shared" si="1"/>
        <v>0</v>
      </c>
    </row>
    <row r="286" ht="22.5" customHeight="1">
      <c r="A286" s="213"/>
      <c r="B286" s="203"/>
      <c r="C286" s="198" t="s">
        <v>1236</v>
      </c>
      <c r="D286" s="206"/>
      <c r="E286" s="206">
        <f t="shared" si="1"/>
        <v>0</v>
      </c>
    </row>
    <row r="287" ht="22.5" customHeight="1">
      <c r="A287" s="196" t="s">
        <v>622</v>
      </c>
      <c r="B287" s="204" t="s">
        <v>1258</v>
      </c>
      <c r="C287" s="198" t="s">
        <v>1218</v>
      </c>
      <c r="D287" s="199">
        <v>760000.0</v>
      </c>
      <c r="E287" s="200">
        <f t="shared" si="1"/>
        <v>874000</v>
      </c>
    </row>
    <row r="288" ht="22.5" customHeight="1">
      <c r="A288" s="201"/>
      <c r="B288" s="203"/>
      <c r="C288" s="198" t="s">
        <v>1184</v>
      </c>
      <c r="D288" s="199">
        <v>150000.0</v>
      </c>
      <c r="E288" s="200">
        <f t="shared" si="1"/>
        <v>172500</v>
      </c>
    </row>
    <row r="289" ht="22.5" customHeight="1">
      <c r="A289" s="215"/>
      <c r="B289" s="216"/>
      <c r="C289" s="198" t="s">
        <v>1236</v>
      </c>
      <c r="D289" s="199">
        <v>150000.0</v>
      </c>
      <c r="E289" s="200">
        <f t="shared" si="1"/>
        <v>172500</v>
      </c>
    </row>
  </sheetData>
  <dataValidations>
    <dataValidation type="list" allowBlank="1" sqref="A2:A289">
      <formula1>"SAMSUNG,IPHONE,MOTOROLA,XIAOMI,HUAWEI,TCL"</formula1>
    </dataValidation>
    <dataValidation type="list" allowBlank="1" sqref="C2:C289">
      <formula1>"MODULO ORIGINAL,MODULO ALTERATIVO,BATERIA ORIGINAL,BATERIA ALTERNATIVA,PIN DE CARGA,MODULO SAMSUNG ORI,PLACA DE CARGA"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38"/>
    <col customWidth="1" min="3" max="3" width="27.63"/>
    <col customWidth="1" min="4" max="4" width="19.25"/>
    <col customWidth="1" min="5" max="5" width="22.63"/>
  </cols>
  <sheetData>
    <row r="1" ht="22.5" customHeight="1">
      <c r="A1" s="195" t="s">
        <v>1178</v>
      </c>
      <c r="B1" s="195" t="s">
        <v>1179</v>
      </c>
      <c r="C1" s="195" t="s">
        <v>1180</v>
      </c>
      <c r="D1" s="195" t="s">
        <v>1181</v>
      </c>
      <c r="E1" s="195" t="s">
        <v>624</v>
      </c>
    </row>
    <row r="2" ht="22.5" customHeight="1">
      <c r="A2" s="196" t="s">
        <v>930</v>
      </c>
      <c r="B2" s="197" t="s">
        <v>1259</v>
      </c>
      <c r="C2" s="198" t="s">
        <v>1183</v>
      </c>
      <c r="D2" s="199">
        <v>65000.0</v>
      </c>
      <c r="E2" s="200">
        <f t="shared" ref="E2:E187" si="1">(D2*1.15)</f>
        <v>74750</v>
      </c>
    </row>
    <row r="3" ht="22.5" customHeight="1">
      <c r="A3" s="201"/>
      <c r="B3" s="202"/>
      <c r="C3" s="198" t="s">
        <v>1184</v>
      </c>
      <c r="D3" s="199">
        <v>60000.0</v>
      </c>
      <c r="E3" s="200">
        <f t="shared" si="1"/>
        <v>69000</v>
      </c>
    </row>
    <row r="4" ht="22.5" customHeight="1">
      <c r="A4" s="201"/>
      <c r="B4" s="203"/>
      <c r="C4" s="198" t="s">
        <v>1185</v>
      </c>
      <c r="D4" s="199">
        <v>52000.0</v>
      </c>
      <c r="E4" s="200">
        <f t="shared" si="1"/>
        <v>59800</v>
      </c>
    </row>
    <row r="5" ht="22.5" customHeight="1">
      <c r="A5" s="201"/>
      <c r="B5" s="203"/>
      <c r="C5" s="198" t="s">
        <v>1186</v>
      </c>
      <c r="D5" s="199">
        <v>45000.0</v>
      </c>
      <c r="E5" s="200">
        <f t="shared" si="1"/>
        <v>51750</v>
      </c>
    </row>
    <row r="6" ht="22.5" customHeight="1">
      <c r="A6" s="211"/>
      <c r="B6" s="208"/>
      <c r="C6" s="198" t="s">
        <v>1260</v>
      </c>
      <c r="D6" s="199">
        <v>60000.0</v>
      </c>
      <c r="E6" s="200">
        <f t="shared" si="1"/>
        <v>69000</v>
      </c>
    </row>
    <row r="7" ht="22.5" customHeight="1">
      <c r="A7" s="196" t="s">
        <v>930</v>
      </c>
      <c r="B7" s="204" t="s">
        <v>1261</v>
      </c>
      <c r="C7" s="198" t="s">
        <v>1183</v>
      </c>
      <c r="D7" s="199">
        <v>68000.0</v>
      </c>
      <c r="E7" s="200">
        <f t="shared" si="1"/>
        <v>78200</v>
      </c>
    </row>
    <row r="8" ht="22.5" customHeight="1">
      <c r="A8" s="201"/>
      <c r="B8" s="203"/>
      <c r="C8" s="198" t="s">
        <v>1184</v>
      </c>
      <c r="D8" s="199">
        <v>60000.0</v>
      </c>
      <c r="E8" s="200">
        <f t="shared" si="1"/>
        <v>69000</v>
      </c>
    </row>
    <row r="9" ht="22.5" customHeight="1">
      <c r="A9" s="201"/>
      <c r="B9" s="203"/>
      <c r="C9" s="198" t="s">
        <v>1185</v>
      </c>
      <c r="D9" s="199">
        <v>52000.0</v>
      </c>
      <c r="E9" s="200">
        <f t="shared" si="1"/>
        <v>59800</v>
      </c>
    </row>
    <row r="10" ht="22.5" customHeight="1">
      <c r="A10" s="201"/>
      <c r="B10" s="203"/>
      <c r="C10" s="198" t="s">
        <v>1186</v>
      </c>
      <c r="D10" s="199">
        <v>45000.0</v>
      </c>
      <c r="E10" s="200">
        <f t="shared" si="1"/>
        <v>51750</v>
      </c>
    </row>
    <row r="11" ht="22.5" customHeight="1">
      <c r="A11" s="211"/>
      <c r="B11" s="208"/>
      <c r="C11" s="198" t="s">
        <v>1260</v>
      </c>
      <c r="D11" s="199">
        <v>60000.0</v>
      </c>
      <c r="E11" s="200">
        <f t="shared" si="1"/>
        <v>69000</v>
      </c>
    </row>
    <row r="12" ht="22.5" customHeight="1">
      <c r="A12" s="196" t="s">
        <v>930</v>
      </c>
      <c r="B12" s="204">
        <v>7.0</v>
      </c>
      <c r="C12" s="198" t="s">
        <v>1183</v>
      </c>
      <c r="D12" s="199">
        <v>75000.0</v>
      </c>
      <c r="E12" s="200">
        <f t="shared" si="1"/>
        <v>86250</v>
      </c>
    </row>
    <row r="13" ht="22.5" customHeight="1">
      <c r="A13" s="201"/>
      <c r="B13" s="203"/>
      <c r="C13" s="198" t="s">
        <v>1184</v>
      </c>
      <c r="D13" s="199">
        <v>65000.0</v>
      </c>
      <c r="E13" s="200">
        <f t="shared" si="1"/>
        <v>74750</v>
      </c>
    </row>
    <row r="14" ht="22.5" customHeight="1">
      <c r="A14" s="201"/>
      <c r="B14" s="203"/>
      <c r="C14" s="198" t="s">
        <v>1185</v>
      </c>
      <c r="D14" s="199">
        <v>59000.0</v>
      </c>
      <c r="E14" s="200">
        <f t="shared" si="1"/>
        <v>67850</v>
      </c>
    </row>
    <row r="15" ht="22.5" customHeight="1">
      <c r="A15" s="201"/>
      <c r="B15" s="203"/>
      <c r="C15" s="198" t="s">
        <v>1186</v>
      </c>
      <c r="D15" s="199">
        <v>45000.0</v>
      </c>
      <c r="E15" s="200">
        <f t="shared" si="1"/>
        <v>51750</v>
      </c>
    </row>
    <row r="16" ht="22.5" customHeight="1">
      <c r="A16" s="211"/>
      <c r="B16" s="208"/>
      <c r="C16" s="198" t="s">
        <v>1260</v>
      </c>
      <c r="D16" s="199">
        <v>60000.0</v>
      </c>
      <c r="E16" s="200">
        <f t="shared" si="1"/>
        <v>69000</v>
      </c>
    </row>
    <row r="17" ht="22.5" customHeight="1">
      <c r="A17" s="196" t="s">
        <v>930</v>
      </c>
      <c r="B17" s="204" t="s">
        <v>1262</v>
      </c>
      <c r="C17" s="198" t="s">
        <v>1183</v>
      </c>
      <c r="D17" s="199">
        <v>78000.0</v>
      </c>
      <c r="E17" s="200">
        <f t="shared" si="1"/>
        <v>89700</v>
      </c>
    </row>
    <row r="18" ht="22.5" customHeight="1">
      <c r="A18" s="201"/>
      <c r="B18" s="203"/>
      <c r="C18" s="198" t="s">
        <v>1184</v>
      </c>
      <c r="D18" s="199">
        <v>68000.0</v>
      </c>
      <c r="E18" s="200">
        <f t="shared" si="1"/>
        <v>78200</v>
      </c>
    </row>
    <row r="19" ht="22.5" customHeight="1">
      <c r="A19" s="201"/>
      <c r="B19" s="203"/>
      <c r="C19" s="198" t="s">
        <v>1185</v>
      </c>
      <c r="D19" s="199">
        <v>59000.0</v>
      </c>
      <c r="E19" s="200">
        <f t="shared" si="1"/>
        <v>67850</v>
      </c>
    </row>
    <row r="20" ht="22.5" customHeight="1">
      <c r="A20" s="201"/>
      <c r="B20" s="203"/>
      <c r="C20" s="198" t="s">
        <v>1186</v>
      </c>
      <c r="D20" s="199">
        <v>55000.0</v>
      </c>
      <c r="E20" s="200">
        <f t="shared" si="1"/>
        <v>63250</v>
      </c>
    </row>
    <row r="21" ht="22.5" customHeight="1">
      <c r="A21" s="211"/>
      <c r="B21" s="208"/>
      <c r="C21" s="198" t="s">
        <v>1260</v>
      </c>
      <c r="D21" s="199">
        <v>65000.0</v>
      </c>
      <c r="E21" s="200">
        <f t="shared" si="1"/>
        <v>74750</v>
      </c>
    </row>
    <row r="22" ht="22.5" customHeight="1">
      <c r="A22" s="196" t="s">
        <v>930</v>
      </c>
      <c r="B22" s="204">
        <v>8.0</v>
      </c>
      <c r="C22" s="198" t="s">
        <v>1183</v>
      </c>
      <c r="D22" s="199">
        <v>80000.0</v>
      </c>
      <c r="E22" s="200">
        <f t="shared" si="1"/>
        <v>92000</v>
      </c>
    </row>
    <row r="23" ht="22.5" customHeight="1">
      <c r="A23" s="201"/>
      <c r="B23" s="203"/>
      <c r="C23" s="198" t="s">
        <v>1184</v>
      </c>
      <c r="D23" s="199">
        <v>65000.0</v>
      </c>
      <c r="E23" s="200">
        <f t="shared" si="1"/>
        <v>74750</v>
      </c>
    </row>
    <row r="24" ht="22.5" customHeight="1">
      <c r="A24" s="201"/>
      <c r="B24" s="203"/>
      <c r="C24" s="198" t="s">
        <v>1185</v>
      </c>
      <c r="D24" s="199">
        <v>59000.0</v>
      </c>
      <c r="E24" s="200">
        <f t="shared" si="1"/>
        <v>67850</v>
      </c>
    </row>
    <row r="25" ht="22.5" customHeight="1">
      <c r="A25" s="201"/>
      <c r="B25" s="203"/>
      <c r="C25" s="198" t="s">
        <v>1186</v>
      </c>
      <c r="D25" s="199">
        <v>55000.0</v>
      </c>
      <c r="E25" s="200">
        <f t="shared" si="1"/>
        <v>63250</v>
      </c>
    </row>
    <row r="26" ht="22.5" customHeight="1">
      <c r="A26" s="211"/>
      <c r="B26" s="208"/>
      <c r="C26" s="198" t="s">
        <v>1260</v>
      </c>
      <c r="D26" s="199">
        <v>65000.0</v>
      </c>
      <c r="E26" s="200">
        <f t="shared" si="1"/>
        <v>74750</v>
      </c>
    </row>
    <row r="27" ht="22.5" customHeight="1">
      <c r="A27" s="196" t="s">
        <v>930</v>
      </c>
      <c r="B27" s="204" t="s">
        <v>1263</v>
      </c>
      <c r="C27" s="198" t="s">
        <v>1183</v>
      </c>
      <c r="D27" s="199">
        <v>85000.0</v>
      </c>
      <c r="E27" s="200">
        <f t="shared" si="1"/>
        <v>97750</v>
      </c>
    </row>
    <row r="28" ht="22.5" customHeight="1">
      <c r="A28" s="201"/>
      <c r="B28" s="203"/>
      <c r="C28" s="198" t="s">
        <v>1184</v>
      </c>
      <c r="D28" s="199">
        <v>68000.0</v>
      </c>
      <c r="E28" s="200">
        <f t="shared" si="1"/>
        <v>78200</v>
      </c>
    </row>
    <row r="29" ht="22.5" customHeight="1">
      <c r="A29" s="201"/>
      <c r="B29" s="203"/>
      <c r="C29" s="198" t="s">
        <v>1185</v>
      </c>
      <c r="D29" s="199">
        <v>59000.0</v>
      </c>
      <c r="E29" s="200">
        <f t="shared" si="1"/>
        <v>67850</v>
      </c>
    </row>
    <row r="30" ht="22.5" customHeight="1">
      <c r="A30" s="201"/>
      <c r="B30" s="203"/>
      <c r="C30" s="198" t="s">
        <v>1186</v>
      </c>
      <c r="D30" s="199">
        <v>58000.0</v>
      </c>
      <c r="E30" s="200">
        <f t="shared" si="1"/>
        <v>66700</v>
      </c>
    </row>
    <row r="31" ht="22.5" customHeight="1">
      <c r="A31" s="211"/>
      <c r="B31" s="208"/>
      <c r="C31" s="198" t="s">
        <v>1260</v>
      </c>
      <c r="D31" s="199">
        <v>65000.0</v>
      </c>
      <c r="E31" s="200">
        <f t="shared" si="1"/>
        <v>74750</v>
      </c>
    </row>
    <row r="32" ht="22.5" customHeight="1">
      <c r="A32" s="196" t="s">
        <v>930</v>
      </c>
      <c r="B32" s="204" t="s">
        <v>1264</v>
      </c>
      <c r="C32" s="198" t="s">
        <v>1183</v>
      </c>
      <c r="D32" s="199">
        <v>95000.0</v>
      </c>
      <c r="E32" s="200">
        <f t="shared" si="1"/>
        <v>109250</v>
      </c>
    </row>
    <row r="33" ht="22.5" customHeight="1">
      <c r="A33" s="201"/>
      <c r="B33" s="203"/>
      <c r="C33" s="198" t="s">
        <v>1184</v>
      </c>
      <c r="D33" s="199">
        <v>68000.0</v>
      </c>
      <c r="E33" s="200">
        <f t="shared" si="1"/>
        <v>78200</v>
      </c>
    </row>
    <row r="34" ht="22.5" customHeight="1">
      <c r="A34" s="201"/>
      <c r="B34" s="203"/>
      <c r="C34" s="198" t="s">
        <v>1185</v>
      </c>
      <c r="D34" s="199">
        <v>62000.0</v>
      </c>
      <c r="E34" s="200">
        <f t="shared" si="1"/>
        <v>71300</v>
      </c>
    </row>
    <row r="35" ht="22.5" customHeight="1">
      <c r="A35" s="201"/>
      <c r="B35" s="203"/>
      <c r="C35" s="198" t="s">
        <v>1186</v>
      </c>
      <c r="D35" s="199">
        <v>62000.0</v>
      </c>
      <c r="E35" s="200">
        <f t="shared" si="1"/>
        <v>71300</v>
      </c>
    </row>
    <row r="36" ht="22.5" customHeight="1">
      <c r="A36" s="211"/>
      <c r="B36" s="208"/>
      <c r="C36" s="198" t="s">
        <v>1260</v>
      </c>
      <c r="D36" s="199">
        <v>70000.0</v>
      </c>
      <c r="E36" s="200">
        <f t="shared" si="1"/>
        <v>80500</v>
      </c>
    </row>
    <row r="37" ht="22.5" customHeight="1">
      <c r="A37" s="196" t="s">
        <v>930</v>
      </c>
      <c r="B37" s="204" t="s">
        <v>1265</v>
      </c>
      <c r="C37" s="198" t="s">
        <v>1183</v>
      </c>
      <c r="D37" s="199">
        <v>130000.0</v>
      </c>
      <c r="E37" s="200">
        <f t="shared" si="1"/>
        <v>149500</v>
      </c>
    </row>
    <row r="38" ht="22.5" customHeight="1">
      <c r="A38" s="201"/>
      <c r="B38" s="203"/>
      <c r="C38" s="198" t="s">
        <v>1184</v>
      </c>
      <c r="D38" s="199">
        <v>80000.0</v>
      </c>
      <c r="E38" s="200">
        <f t="shared" si="1"/>
        <v>92000</v>
      </c>
    </row>
    <row r="39" ht="22.5" customHeight="1">
      <c r="A39" s="201"/>
      <c r="B39" s="203"/>
      <c r="C39" s="198" t="s">
        <v>1185</v>
      </c>
      <c r="D39" s="199">
        <v>69000.0</v>
      </c>
      <c r="E39" s="200">
        <f t="shared" si="1"/>
        <v>79350</v>
      </c>
    </row>
    <row r="40" ht="22.5" customHeight="1">
      <c r="A40" s="201"/>
      <c r="B40" s="203"/>
      <c r="C40" s="198" t="s">
        <v>1186</v>
      </c>
      <c r="D40" s="199">
        <v>65000.0</v>
      </c>
      <c r="E40" s="200">
        <f t="shared" si="1"/>
        <v>74750</v>
      </c>
    </row>
    <row r="41" ht="22.5" customHeight="1">
      <c r="A41" s="211"/>
      <c r="B41" s="208"/>
      <c r="C41" s="198" t="s">
        <v>1260</v>
      </c>
      <c r="D41" s="199">
        <v>75000.0</v>
      </c>
      <c r="E41" s="200">
        <f t="shared" si="1"/>
        <v>86250</v>
      </c>
    </row>
    <row r="42" ht="22.5" customHeight="1">
      <c r="A42" s="196" t="s">
        <v>930</v>
      </c>
      <c r="B42" s="204" t="s">
        <v>1266</v>
      </c>
      <c r="C42" s="198" t="s">
        <v>1183</v>
      </c>
      <c r="D42" s="199">
        <v>195000.0</v>
      </c>
      <c r="E42" s="200">
        <f t="shared" si="1"/>
        <v>224250</v>
      </c>
    </row>
    <row r="43" ht="22.5" customHeight="1">
      <c r="A43" s="201"/>
      <c r="B43" s="203"/>
      <c r="C43" s="198" t="s">
        <v>1205</v>
      </c>
      <c r="D43" s="199">
        <v>155000.0</v>
      </c>
      <c r="E43" s="200">
        <f t="shared" si="1"/>
        <v>178250</v>
      </c>
    </row>
    <row r="44" ht="22.5" customHeight="1">
      <c r="A44" s="201"/>
      <c r="B44" s="203"/>
      <c r="C44" s="198" t="s">
        <v>1184</v>
      </c>
      <c r="D44" s="199">
        <v>80500.0</v>
      </c>
      <c r="E44" s="200">
        <f t="shared" si="1"/>
        <v>92575</v>
      </c>
    </row>
    <row r="45" ht="22.5" customHeight="1">
      <c r="A45" s="201"/>
      <c r="B45" s="203"/>
      <c r="C45" s="198" t="s">
        <v>1185</v>
      </c>
      <c r="D45" s="199">
        <v>75000.0</v>
      </c>
      <c r="E45" s="200">
        <f t="shared" si="1"/>
        <v>86250</v>
      </c>
    </row>
    <row r="46" ht="22.5" customHeight="1">
      <c r="A46" s="201"/>
      <c r="B46" s="203"/>
      <c r="C46" s="198" t="s">
        <v>1186</v>
      </c>
      <c r="D46" s="199">
        <v>65000.0</v>
      </c>
      <c r="E46" s="200">
        <f t="shared" si="1"/>
        <v>74750</v>
      </c>
    </row>
    <row r="47" ht="22.5" customHeight="1">
      <c r="A47" s="211"/>
      <c r="B47" s="208"/>
      <c r="C47" s="198" t="s">
        <v>1260</v>
      </c>
      <c r="D47" s="199">
        <v>75000.0</v>
      </c>
      <c r="E47" s="200">
        <f t="shared" si="1"/>
        <v>86250</v>
      </c>
    </row>
    <row r="48" ht="22.5" customHeight="1">
      <c r="A48" s="196" t="s">
        <v>930</v>
      </c>
      <c r="B48" s="204">
        <v>11.0</v>
      </c>
      <c r="C48" s="198" t="s">
        <v>1183</v>
      </c>
      <c r="D48" s="199">
        <v>125000.0</v>
      </c>
      <c r="E48" s="200">
        <f t="shared" si="1"/>
        <v>143750</v>
      </c>
    </row>
    <row r="49" ht="22.5" customHeight="1">
      <c r="A49" s="201"/>
      <c r="B49" s="203"/>
      <c r="C49" s="198" t="s">
        <v>1205</v>
      </c>
      <c r="D49" s="199">
        <v>98000.0</v>
      </c>
      <c r="E49" s="200">
        <f t="shared" si="1"/>
        <v>112700</v>
      </c>
    </row>
    <row r="50" ht="22.5" customHeight="1">
      <c r="A50" s="201"/>
      <c r="B50" s="203"/>
      <c r="C50" s="198" t="s">
        <v>1184</v>
      </c>
      <c r="D50" s="199">
        <v>85000.0</v>
      </c>
      <c r="E50" s="200">
        <f t="shared" si="1"/>
        <v>97750</v>
      </c>
    </row>
    <row r="51" ht="22.5" customHeight="1">
      <c r="A51" s="201"/>
      <c r="B51" s="203"/>
      <c r="C51" s="198" t="s">
        <v>1185</v>
      </c>
      <c r="D51" s="199">
        <v>80000.0</v>
      </c>
      <c r="E51" s="200">
        <f t="shared" si="1"/>
        <v>92000</v>
      </c>
    </row>
    <row r="52" ht="22.5" customHeight="1">
      <c r="A52" s="201"/>
      <c r="B52" s="203"/>
      <c r="C52" s="198" t="s">
        <v>1186</v>
      </c>
      <c r="D52" s="199">
        <v>80000.0</v>
      </c>
      <c r="E52" s="200">
        <f t="shared" si="1"/>
        <v>92000</v>
      </c>
    </row>
    <row r="53" ht="22.5" customHeight="1">
      <c r="A53" s="211"/>
      <c r="B53" s="208"/>
      <c r="C53" s="198" t="s">
        <v>1260</v>
      </c>
      <c r="D53" s="199">
        <v>78000.0</v>
      </c>
      <c r="E53" s="200">
        <f t="shared" si="1"/>
        <v>89700</v>
      </c>
    </row>
    <row r="54" ht="22.5" customHeight="1">
      <c r="A54" s="196" t="s">
        <v>930</v>
      </c>
      <c r="B54" s="204" t="s">
        <v>1267</v>
      </c>
      <c r="C54" s="198" t="s">
        <v>1183</v>
      </c>
      <c r="D54" s="199">
        <v>150000.0</v>
      </c>
      <c r="E54" s="200">
        <f t="shared" si="1"/>
        <v>172500</v>
      </c>
    </row>
    <row r="55" ht="22.5" customHeight="1">
      <c r="A55" s="201"/>
      <c r="B55" s="203"/>
      <c r="C55" s="198" t="s">
        <v>1205</v>
      </c>
      <c r="D55" s="199">
        <v>125000.0</v>
      </c>
      <c r="E55" s="200">
        <f t="shared" si="1"/>
        <v>143750</v>
      </c>
    </row>
    <row r="56" ht="22.5" customHeight="1">
      <c r="A56" s="201"/>
      <c r="B56" s="203"/>
      <c r="C56" s="198" t="s">
        <v>1184</v>
      </c>
      <c r="D56" s="199">
        <v>85000.0</v>
      </c>
      <c r="E56" s="200">
        <f t="shared" si="1"/>
        <v>97750</v>
      </c>
    </row>
    <row r="57" ht="22.5" customHeight="1">
      <c r="A57" s="201"/>
      <c r="B57" s="203"/>
      <c r="C57" s="198" t="s">
        <v>1185</v>
      </c>
      <c r="D57" s="199">
        <v>80000.0</v>
      </c>
      <c r="E57" s="200">
        <f t="shared" si="1"/>
        <v>92000</v>
      </c>
    </row>
    <row r="58" ht="22.5" customHeight="1">
      <c r="A58" s="201"/>
      <c r="B58" s="203"/>
      <c r="C58" s="198" t="s">
        <v>1186</v>
      </c>
      <c r="D58" s="199">
        <v>80000.0</v>
      </c>
      <c r="E58" s="200">
        <f t="shared" si="1"/>
        <v>92000</v>
      </c>
    </row>
    <row r="59" ht="22.5" customHeight="1">
      <c r="A59" s="211"/>
      <c r="B59" s="208"/>
      <c r="C59" s="198" t="s">
        <v>1260</v>
      </c>
      <c r="D59" s="199">
        <v>78000.0</v>
      </c>
      <c r="E59" s="200">
        <f t="shared" si="1"/>
        <v>89700</v>
      </c>
    </row>
    <row r="60" ht="22.5" customHeight="1">
      <c r="A60" s="196" t="s">
        <v>930</v>
      </c>
      <c r="B60" s="204" t="s">
        <v>1268</v>
      </c>
      <c r="C60" s="198" t="s">
        <v>1183</v>
      </c>
      <c r="D60" s="199">
        <v>220000.0</v>
      </c>
      <c r="E60" s="200">
        <f t="shared" si="1"/>
        <v>253000</v>
      </c>
    </row>
    <row r="61" ht="22.5" customHeight="1">
      <c r="A61" s="201"/>
      <c r="B61" s="203"/>
      <c r="C61" s="198" t="s">
        <v>1205</v>
      </c>
      <c r="D61" s="199">
        <v>198000.0</v>
      </c>
      <c r="E61" s="200">
        <f t="shared" si="1"/>
        <v>227700</v>
      </c>
    </row>
    <row r="62" ht="22.5" customHeight="1">
      <c r="A62" s="201"/>
      <c r="B62" s="203"/>
      <c r="C62" s="198" t="s">
        <v>1184</v>
      </c>
      <c r="D62" s="199">
        <v>140000.0</v>
      </c>
      <c r="E62" s="200">
        <f t="shared" si="1"/>
        <v>161000</v>
      </c>
    </row>
    <row r="63" ht="22.5" customHeight="1">
      <c r="A63" s="201"/>
      <c r="B63" s="203"/>
      <c r="C63" s="198" t="s">
        <v>1185</v>
      </c>
      <c r="D63" s="199">
        <v>120000.0</v>
      </c>
      <c r="E63" s="200">
        <f t="shared" si="1"/>
        <v>138000</v>
      </c>
    </row>
    <row r="64" ht="22.5" customHeight="1">
      <c r="A64" s="201"/>
      <c r="B64" s="203"/>
      <c r="C64" s="198" t="s">
        <v>1186</v>
      </c>
      <c r="D64" s="199">
        <v>95000.0</v>
      </c>
      <c r="E64" s="200">
        <f t="shared" si="1"/>
        <v>109250</v>
      </c>
    </row>
    <row r="65" ht="22.5" customHeight="1">
      <c r="A65" s="211"/>
      <c r="B65" s="208"/>
      <c r="C65" s="198" t="s">
        <v>1260</v>
      </c>
      <c r="D65" s="199">
        <v>85000.0</v>
      </c>
      <c r="E65" s="200">
        <f t="shared" si="1"/>
        <v>97750</v>
      </c>
    </row>
    <row r="66" ht="22.5" customHeight="1">
      <c r="A66" s="196" t="s">
        <v>930</v>
      </c>
      <c r="B66" s="204">
        <v>12.0</v>
      </c>
      <c r="C66" s="198" t="s">
        <v>1183</v>
      </c>
      <c r="D66" s="199">
        <v>315000.0</v>
      </c>
      <c r="E66" s="200">
        <f t="shared" si="1"/>
        <v>362250</v>
      </c>
    </row>
    <row r="67" ht="22.5" customHeight="1">
      <c r="A67" s="201"/>
      <c r="B67" s="203"/>
      <c r="C67" s="198" t="s">
        <v>1205</v>
      </c>
      <c r="D67" s="199">
        <v>270000.0</v>
      </c>
      <c r="E67" s="200">
        <f t="shared" si="1"/>
        <v>310500</v>
      </c>
    </row>
    <row r="68" ht="22.5" customHeight="1">
      <c r="A68" s="201"/>
      <c r="B68" s="203"/>
      <c r="C68" s="198" t="s">
        <v>1184</v>
      </c>
      <c r="D68" s="199">
        <v>110000.0</v>
      </c>
      <c r="E68" s="200">
        <f t="shared" si="1"/>
        <v>126500</v>
      </c>
    </row>
    <row r="69" ht="22.5" customHeight="1">
      <c r="A69" s="201"/>
      <c r="B69" s="203"/>
      <c r="C69" s="198" t="s">
        <v>1185</v>
      </c>
      <c r="D69" s="199">
        <v>98000.0</v>
      </c>
      <c r="E69" s="200">
        <f t="shared" si="1"/>
        <v>112700</v>
      </c>
    </row>
    <row r="70" ht="22.5" customHeight="1">
      <c r="A70" s="201"/>
      <c r="B70" s="203"/>
      <c r="C70" s="198" t="s">
        <v>1186</v>
      </c>
      <c r="D70" s="199">
        <v>90000.0</v>
      </c>
      <c r="E70" s="200">
        <f t="shared" si="1"/>
        <v>103500</v>
      </c>
    </row>
    <row r="71" ht="22.5" customHeight="1">
      <c r="A71" s="211"/>
      <c r="B71" s="208"/>
      <c r="C71" s="198" t="s">
        <v>1260</v>
      </c>
      <c r="D71" s="199">
        <v>90000.0</v>
      </c>
      <c r="E71" s="200">
        <f t="shared" si="1"/>
        <v>103500</v>
      </c>
    </row>
    <row r="72" ht="22.5" customHeight="1">
      <c r="A72" s="196" t="s">
        <v>930</v>
      </c>
      <c r="B72" s="204" t="s">
        <v>1269</v>
      </c>
      <c r="C72" s="198" t="s">
        <v>1183</v>
      </c>
      <c r="D72" s="199">
        <v>315000.0</v>
      </c>
      <c r="E72" s="200">
        <f t="shared" si="1"/>
        <v>362250</v>
      </c>
    </row>
    <row r="73" ht="22.5" customHeight="1">
      <c r="A73" s="201"/>
      <c r="B73" s="203"/>
      <c r="C73" s="198" t="s">
        <v>1205</v>
      </c>
      <c r="D73" s="199">
        <v>270000.0</v>
      </c>
      <c r="E73" s="200">
        <f t="shared" si="1"/>
        <v>310500</v>
      </c>
    </row>
    <row r="74" ht="22.5" customHeight="1">
      <c r="A74" s="201"/>
      <c r="B74" s="203"/>
      <c r="C74" s="198" t="s">
        <v>1184</v>
      </c>
      <c r="D74" s="199">
        <v>110000.0</v>
      </c>
      <c r="E74" s="200">
        <f t="shared" si="1"/>
        <v>126500</v>
      </c>
    </row>
    <row r="75" ht="22.5" customHeight="1">
      <c r="A75" s="201"/>
      <c r="B75" s="203"/>
      <c r="C75" s="198" t="s">
        <v>1185</v>
      </c>
      <c r="D75" s="199">
        <v>98000.0</v>
      </c>
      <c r="E75" s="200">
        <f t="shared" si="1"/>
        <v>112700</v>
      </c>
    </row>
    <row r="76" ht="22.5" customHeight="1">
      <c r="A76" s="201"/>
      <c r="B76" s="203"/>
      <c r="C76" s="198" t="s">
        <v>1186</v>
      </c>
      <c r="D76" s="199">
        <v>90000.0</v>
      </c>
      <c r="E76" s="200">
        <f t="shared" si="1"/>
        <v>103500</v>
      </c>
    </row>
    <row r="77" ht="22.5" customHeight="1">
      <c r="A77" s="211"/>
      <c r="B77" s="208"/>
      <c r="C77" s="198" t="s">
        <v>1260</v>
      </c>
      <c r="D77" s="199">
        <v>90000.0</v>
      </c>
      <c r="E77" s="200">
        <f t="shared" si="1"/>
        <v>103500</v>
      </c>
    </row>
    <row r="78" ht="22.5" customHeight="1">
      <c r="A78" s="196" t="s">
        <v>930</v>
      </c>
      <c r="B78" s="204" t="s">
        <v>1270</v>
      </c>
      <c r="C78" s="198" t="s">
        <v>1183</v>
      </c>
      <c r="D78" s="199">
        <v>350000.0</v>
      </c>
      <c r="E78" s="200">
        <f t="shared" si="1"/>
        <v>402500</v>
      </c>
    </row>
    <row r="79" ht="22.5" customHeight="1">
      <c r="A79" s="201"/>
      <c r="B79" s="203"/>
      <c r="C79" s="198" t="s">
        <v>1205</v>
      </c>
      <c r="D79" s="199">
        <v>295000.0</v>
      </c>
      <c r="E79" s="200">
        <f t="shared" si="1"/>
        <v>339250</v>
      </c>
    </row>
    <row r="80" ht="22.5" customHeight="1">
      <c r="A80" s="201"/>
      <c r="B80" s="203"/>
      <c r="C80" s="198" t="s">
        <v>1184</v>
      </c>
      <c r="D80" s="199">
        <v>140000.0</v>
      </c>
      <c r="E80" s="200">
        <f t="shared" si="1"/>
        <v>161000</v>
      </c>
    </row>
    <row r="81" ht="22.5" customHeight="1">
      <c r="A81" s="201"/>
      <c r="B81" s="203"/>
      <c r="C81" s="198" t="s">
        <v>1185</v>
      </c>
      <c r="D81" s="199">
        <v>120000.0</v>
      </c>
      <c r="E81" s="200">
        <f t="shared" si="1"/>
        <v>138000</v>
      </c>
    </row>
    <row r="82" ht="22.5" customHeight="1">
      <c r="A82" s="201"/>
      <c r="B82" s="203"/>
      <c r="C82" s="198" t="s">
        <v>1186</v>
      </c>
      <c r="D82" s="199">
        <v>90000.0</v>
      </c>
      <c r="E82" s="200">
        <f t="shared" si="1"/>
        <v>103500</v>
      </c>
    </row>
    <row r="83" ht="22.5" customHeight="1">
      <c r="A83" s="211"/>
      <c r="B83" s="208"/>
      <c r="C83" s="198" t="s">
        <v>1260</v>
      </c>
      <c r="D83" s="199">
        <v>90000.0</v>
      </c>
      <c r="E83" s="200">
        <f t="shared" si="1"/>
        <v>103500</v>
      </c>
    </row>
    <row r="84" ht="22.5" customHeight="1">
      <c r="A84" s="196" t="s">
        <v>930</v>
      </c>
      <c r="B84" s="204">
        <v>13.0</v>
      </c>
      <c r="C84" s="198" t="s">
        <v>1183</v>
      </c>
      <c r="D84" s="199">
        <v>290000.0</v>
      </c>
      <c r="E84" s="200">
        <f t="shared" si="1"/>
        <v>333500</v>
      </c>
    </row>
    <row r="85" ht="22.5" customHeight="1">
      <c r="A85" s="201"/>
      <c r="B85" s="203"/>
      <c r="C85" s="198" t="s">
        <v>1205</v>
      </c>
      <c r="D85" s="199">
        <v>250000.0</v>
      </c>
      <c r="E85" s="200">
        <f t="shared" si="1"/>
        <v>287500</v>
      </c>
    </row>
    <row r="86" ht="22.5" customHeight="1">
      <c r="A86" s="201"/>
      <c r="B86" s="203"/>
      <c r="C86" s="198" t="s">
        <v>1184</v>
      </c>
      <c r="D86" s="199">
        <v>150000.0</v>
      </c>
      <c r="E86" s="200">
        <f t="shared" si="1"/>
        <v>172500</v>
      </c>
    </row>
    <row r="87" ht="22.5" customHeight="1">
      <c r="A87" s="201"/>
      <c r="B87" s="203"/>
      <c r="C87" s="198" t="s">
        <v>1185</v>
      </c>
      <c r="D87" s="199">
        <v>120000.0</v>
      </c>
      <c r="E87" s="200">
        <f t="shared" si="1"/>
        <v>138000</v>
      </c>
    </row>
    <row r="88" ht="22.5" customHeight="1">
      <c r="A88" s="201"/>
      <c r="B88" s="203"/>
      <c r="C88" s="198" t="s">
        <v>1186</v>
      </c>
      <c r="D88" s="199">
        <v>95000.0</v>
      </c>
      <c r="E88" s="200">
        <f t="shared" si="1"/>
        <v>109250</v>
      </c>
    </row>
    <row r="89" ht="22.5" customHeight="1">
      <c r="A89" s="211"/>
      <c r="B89" s="208"/>
      <c r="C89" s="198" t="s">
        <v>1260</v>
      </c>
      <c r="D89" s="199">
        <v>90000.0</v>
      </c>
      <c r="E89" s="200">
        <f t="shared" si="1"/>
        <v>103500</v>
      </c>
    </row>
    <row r="90" ht="22.5" customHeight="1">
      <c r="A90" s="196" t="s">
        <v>930</v>
      </c>
      <c r="B90" s="204" t="s">
        <v>1271</v>
      </c>
      <c r="C90" s="198" t="s">
        <v>1183</v>
      </c>
      <c r="D90" s="199">
        <v>380000.0</v>
      </c>
      <c r="E90" s="200">
        <f t="shared" si="1"/>
        <v>437000</v>
      </c>
    </row>
    <row r="91" ht="22.5" customHeight="1">
      <c r="A91" s="201"/>
      <c r="B91" s="203"/>
      <c r="C91" s="198" t="s">
        <v>1205</v>
      </c>
      <c r="D91" s="199">
        <v>295000.0</v>
      </c>
      <c r="E91" s="200">
        <f t="shared" si="1"/>
        <v>339250</v>
      </c>
    </row>
    <row r="92" ht="22.5" customHeight="1">
      <c r="A92" s="201"/>
      <c r="B92" s="203"/>
      <c r="C92" s="198" t="s">
        <v>1184</v>
      </c>
      <c r="D92" s="199">
        <v>150000.0</v>
      </c>
      <c r="E92" s="200">
        <f t="shared" si="1"/>
        <v>172500</v>
      </c>
    </row>
    <row r="93" ht="22.5" customHeight="1">
      <c r="A93" s="201"/>
      <c r="B93" s="203"/>
      <c r="C93" s="198" t="s">
        <v>1185</v>
      </c>
      <c r="D93" s="199">
        <v>120000.0</v>
      </c>
      <c r="E93" s="200">
        <f t="shared" si="1"/>
        <v>138000</v>
      </c>
    </row>
    <row r="94" ht="22.5" customHeight="1">
      <c r="A94" s="201"/>
      <c r="B94" s="203"/>
      <c r="C94" s="198" t="s">
        <v>1186</v>
      </c>
      <c r="D94" s="199">
        <v>95000.0</v>
      </c>
      <c r="E94" s="200">
        <f t="shared" si="1"/>
        <v>109250</v>
      </c>
    </row>
    <row r="95" ht="22.5" customHeight="1">
      <c r="A95" s="211"/>
      <c r="B95" s="208"/>
      <c r="C95" s="198" t="s">
        <v>1260</v>
      </c>
      <c r="D95" s="199">
        <v>90000.0</v>
      </c>
      <c r="E95" s="200">
        <f t="shared" si="1"/>
        <v>103500</v>
      </c>
    </row>
    <row r="96" ht="22.5" customHeight="1">
      <c r="A96" s="196" t="s">
        <v>930</v>
      </c>
      <c r="B96" s="204" t="s">
        <v>1272</v>
      </c>
      <c r="C96" s="198" t="s">
        <v>1183</v>
      </c>
      <c r="D96" s="199">
        <v>370000.0</v>
      </c>
      <c r="E96" s="200">
        <f t="shared" si="1"/>
        <v>425500</v>
      </c>
    </row>
    <row r="97" ht="22.5" customHeight="1">
      <c r="A97" s="201"/>
      <c r="B97" s="203"/>
      <c r="C97" s="198" t="s">
        <v>1205</v>
      </c>
      <c r="D97" s="199">
        <v>320000.0</v>
      </c>
      <c r="E97" s="200">
        <f t="shared" si="1"/>
        <v>368000</v>
      </c>
    </row>
    <row r="98" ht="22.5" customHeight="1">
      <c r="A98" s="201"/>
      <c r="B98" s="203"/>
      <c r="C98" s="198" t="s">
        <v>1184</v>
      </c>
      <c r="D98" s="199">
        <v>160000.0</v>
      </c>
      <c r="E98" s="200">
        <f t="shared" si="1"/>
        <v>184000</v>
      </c>
    </row>
    <row r="99" ht="22.5" customHeight="1">
      <c r="A99" s="201"/>
      <c r="B99" s="203"/>
      <c r="C99" s="198" t="s">
        <v>1185</v>
      </c>
      <c r="D99" s="199">
        <v>140000.0</v>
      </c>
      <c r="E99" s="200">
        <f t="shared" si="1"/>
        <v>161000</v>
      </c>
    </row>
    <row r="100" ht="22.5" customHeight="1">
      <c r="A100" s="201"/>
      <c r="B100" s="203"/>
      <c r="C100" s="198" t="s">
        <v>1186</v>
      </c>
      <c r="D100" s="199">
        <v>110000.0</v>
      </c>
      <c r="E100" s="200">
        <f t="shared" si="1"/>
        <v>126500</v>
      </c>
    </row>
    <row r="101" ht="22.5" customHeight="1">
      <c r="A101" s="211"/>
      <c r="B101" s="208"/>
      <c r="C101" s="198" t="s">
        <v>1260</v>
      </c>
      <c r="D101" s="199">
        <v>95000.0</v>
      </c>
      <c r="E101" s="200">
        <f t="shared" si="1"/>
        <v>109250</v>
      </c>
    </row>
    <row r="102" ht="22.5" customHeight="1">
      <c r="A102" s="196" t="s">
        <v>930</v>
      </c>
      <c r="B102" s="204">
        <v>14.0</v>
      </c>
      <c r="C102" s="198" t="s">
        <v>1183</v>
      </c>
      <c r="D102" s="199">
        <v>295000.0</v>
      </c>
      <c r="E102" s="200">
        <f t="shared" si="1"/>
        <v>339250</v>
      </c>
    </row>
    <row r="103" ht="22.5" customHeight="1">
      <c r="A103" s="201"/>
      <c r="B103" s="203"/>
      <c r="C103" s="198" t="s">
        <v>1205</v>
      </c>
      <c r="D103" s="199">
        <v>250000.0</v>
      </c>
      <c r="E103" s="200">
        <f t="shared" si="1"/>
        <v>287500</v>
      </c>
    </row>
    <row r="104" ht="22.5" customHeight="1">
      <c r="A104" s="201"/>
      <c r="B104" s="203"/>
      <c r="C104" s="198" t="s">
        <v>1184</v>
      </c>
      <c r="D104" s="199">
        <v>150000.0</v>
      </c>
      <c r="E104" s="200">
        <f t="shared" si="1"/>
        <v>172500</v>
      </c>
    </row>
    <row r="105" ht="22.5" customHeight="1">
      <c r="A105" s="201"/>
      <c r="B105" s="203"/>
      <c r="C105" s="198" t="s">
        <v>1185</v>
      </c>
      <c r="D105" s="199">
        <v>120000.0</v>
      </c>
      <c r="E105" s="200">
        <f t="shared" si="1"/>
        <v>138000</v>
      </c>
    </row>
    <row r="106" ht="22.5" customHeight="1">
      <c r="A106" s="201"/>
      <c r="B106" s="203"/>
      <c r="C106" s="198" t="s">
        <v>1186</v>
      </c>
      <c r="D106" s="199">
        <v>98000.0</v>
      </c>
      <c r="E106" s="200">
        <f t="shared" si="1"/>
        <v>112700</v>
      </c>
    </row>
    <row r="107" ht="22.5" customHeight="1">
      <c r="A107" s="211"/>
      <c r="B107" s="208"/>
      <c r="C107" s="212" t="s">
        <v>1260</v>
      </c>
      <c r="D107" s="199">
        <v>110000.0</v>
      </c>
      <c r="E107" s="200">
        <f t="shared" si="1"/>
        <v>126500</v>
      </c>
    </row>
    <row r="108" ht="22.5" customHeight="1">
      <c r="A108" s="196" t="s">
        <v>930</v>
      </c>
      <c r="B108" s="204" t="s">
        <v>1273</v>
      </c>
      <c r="C108" s="207" t="s">
        <v>1183</v>
      </c>
      <c r="D108" s="199">
        <v>580000.0</v>
      </c>
      <c r="E108" s="200">
        <f t="shared" si="1"/>
        <v>667000</v>
      </c>
    </row>
    <row r="109" ht="22.5" customHeight="1">
      <c r="A109" s="201"/>
      <c r="B109" s="208"/>
      <c r="C109" s="210" t="s">
        <v>1205</v>
      </c>
      <c r="D109" s="199">
        <v>500000.0</v>
      </c>
      <c r="E109" s="200">
        <f t="shared" si="1"/>
        <v>575000</v>
      </c>
    </row>
    <row r="110" ht="22.5" customHeight="1">
      <c r="A110" s="201"/>
      <c r="B110" s="208"/>
      <c r="C110" s="209" t="s">
        <v>1184</v>
      </c>
      <c r="D110" s="199">
        <v>160000.0</v>
      </c>
      <c r="E110" s="200">
        <f t="shared" si="1"/>
        <v>184000</v>
      </c>
    </row>
    <row r="111" ht="22.5" customHeight="1">
      <c r="A111" s="201"/>
      <c r="B111" s="208"/>
      <c r="C111" s="207" t="s">
        <v>1185</v>
      </c>
      <c r="D111" s="199">
        <v>140000.0</v>
      </c>
      <c r="E111" s="200">
        <f t="shared" si="1"/>
        <v>161000</v>
      </c>
    </row>
    <row r="112" ht="22.5" customHeight="1">
      <c r="A112" s="201"/>
      <c r="B112" s="208"/>
      <c r="C112" s="209" t="s">
        <v>1186</v>
      </c>
      <c r="D112" s="199">
        <v>110000.0</v>
      </c>
      <c r="E112" s="200">
        <f t="shared" si="1"/>
        <v>126500</v>
      </c>
    </row>
    <row r="113" ht="22.5" customHeight="1">
      <c r="A113" s="211"/>
      <c r="B113" s="208"/>
      <c r="C113" s="212" t="s">
        <v>1260</v>
      </c>
      <c r="D113" s="199">
        <v>110000.0</v>
      </c>
      <c r="E113" s="200">
        <f t="shared" si="1"/>
        <v>126500</v>
      </c>
    </row>
    <row r="114" ht="22.5" customHeight="1">
      <c r="A114" s="196" t="s">
        <v>930</v>
      </c>
      <c r="B114" s="204" t="s">
        <v>1274</v>
      </c>
      <c r="C114" s="207" t="s">
        <v>1183</v>
      </c>
      <c r="D114" s="199">
        <v>630000.0</v>
      </c>
      <c r="E114" s="200">
        <f t="shared" si="1"/>
        <v>724500</v>
      </c>
    </row>
    <row r="115" ht="22.5" customHeight="1">
      <c r="A115" s="201"/>
      <c r="B115" s="208"/>
      <c r="C115" s="210" t="s">
        <v>1205</v>
      </c>
      <c r="D115" s="199">
        <v>540000.0</v>
      </c>
      <c r="E115" s="200">
        <f t="shared" si="1"/>
        <v>621000</v>
      </c>
    </row>
    <row r="116" ht="22.5" customHeight="1">
      <c r="A116" s="201"/>
      <c r="B116" s="208"/>
      <c r="C116" s="209" t="s">
        <v>1184</v>
      </c>
      <c r="D116" s="199">
        <v>180000.0</v>
      </c>
      <c r="E116" s="200">
        <f t="shared" si="1"/>
        <v>207000</v>
      </c>
    </row>
    <row r="117" ht="22.5" customHeight="1">
      <c r="A117" s="201"/>
      <c r="B117" s="208"/>
      <c r="C117" s="207" t="s">
        <v>1185</v>
      </c>
      <c r="D117" s="199">
        <v>150000.0</v>
      </c>
      <c r="E117" s="200">
        <f t="shared" si="1"/>
        <v>172500</v>
      </c>
    </row>
    <row r="118" ht="22.5" customHeight="1">
      <c r="A118" s="201"/>
      <c r="B118" s="208"/>
      <c r="C118" s="209" t="s">
        <v>1186</v>
      </c>
      <c r="D118" s="199">
        <v>120000.0</v>
      </c>
      <c r="E118" s="200">
        <f t="shared" si="1"/>
        <v>138000</v>
      </c>
    </row>
    <row r="119" ht="22.5" customHeight="1">
      <c r="A119" s="211"/>
      <c r="B119" s="208"/>
      <c r="C119" s="212" t="s">
        <v>1260</v>
      </c>
      <c r="D119" s="199">
        <v>110000.0</v>
      </c>
      <c r="E119" s="200">
        <f t="shared" si="1"/>
        <v>126500</v>
      </c>
    </row>
    <row r="120" ht="22.5" customHeight="1">
      <c r="A120" s="196" t="s">
        <v>930</v>
      </c>
      <c r="B120" s="204" t="s">
        <v>1275</v>
      </c>
      <c r="C120" s="207" t="s">
        <v>1183</v>
      </c>
      <c r="D120" s="205"/>
      <c r="E120" s="206">
        <f t="shared" si="1"/>
        <v>0</v>
      </c>
    </row>
    <row r="121" ht="22.5" customHeight="1">
      <c r="A121" s="201"/>
      <c r="B121" s="208"/>
      <c r="C121" s="210" t="s">
        <v>1205</v>
      </c>
      <c r="D121" s="199">
        <v>290000.0</v>
      </c>
      <c r="E121" s="200">
        <f t="shared" si="1"/>
        <v>333500</v>
      </c>
    </row>
    <row r="122" ht="22.5" customHeight="1">
      <c r="A122" s="201"/>
      <c r="B122" s="208"/>
      <c r="C122" s="209" t="s">
        <v>1184</v>
      </c>
      <c r="D122" s="199">
        <v>150000.0</v>
      </c>
      <c r="E122" s="200">
        <f t="shared" si="1"/>
        <v>172500</v>
      </c>
    </row>
    <row r="123" ht="22.5" customHeight="1">
      <c r="A123" s="201"/>
      <c r="B123" s="208"/>
      <c r="C123" s="207" t="s">
        <v>1185</v>
      </c>
      <c r="D123" s="199">
        <v>130000.0</v>
      </c>
      <c r="E123" s="200">
        <f t="shared" si="1"/>
        <v>149500</v>
      </c>
    </row>
    <row r="124" ht="22.5" customHeight="1">
      <c r="A124" s="201"/>
      <c r="B124" s="208"/>
      <c r="C124" s="210" t="s">
        <v>1186</v>
      </c>
      <c r="D124" s="199">
        <v>110000.0</v>
      </c>
      <c r="E124" s="200">
        <f t="shared" si="1"/>
        <v>126500</v>
      </c>
    </row>
    <row r="125" ht="22.5" customHeight="1">
      <c r="A125" s="211"/>
      <c r="B125" s="208"/>
      <c r="C125" s="212" t="s">
        <v>1260</v>
      </c>
      <c r="D125" s="199">
        <v>110000.0</v>
      </c>
      <c r="E125" s="200">
        <f t="shared" si="1"/>
        <v>126500</v>
      </c>
    </row>
    <row r="126" ht="22.5" customHeight="1">
      <c r="A126" s="196" t="s">
        <v>930</v>
      </c>
      <c r="B126" s="204">
        <v>15.0</v>
      </c>
      <c r="C126" s="207" t="s">
        <v>1183</v>
      </c>
      <c r="D126" s="199">
        <v>470000.0</v>
      </c>
      <c r="E126" s="200">
        <f t="shared" si="1"/>
        <v>540500</v>
      </c>
    </row>
    <row r="127" ht="22.5" customHeight="1">
      <c r="A127" s="201"/>
      <c r="B127" s="208"/>
      <c r="C127" s="210" t="s">
        <v>1205</v>
      </c>
      <c r="D127" s="199">
        <v>430000.0</v>
      </c>
      <c r="E127" s="200">
        <f t="shared" si="1"/>
        <v>494500</v>
      </c>
    </row>
    <row r="128" ht="22.5" customHeight="1">
      <c r="A128" s="201"/>
      <c r="B128" s="208"/>
      <c r="C128" s="209" t="s">
        <v>1184</v>
      </c>
      <c r="D128" s="199">
        <v>160000.0</v>
      </c>
      <c r="E128" s="200">
        <f t="shared" si="1"/>
        <v>184000</v>
      </c>
    </row>
    <row r="129" ht="22.5" customHeight="1">
      <c r="A129" s="201"/>
      <c r="B129" s="208"/>
      <c r="C129" s="207" t="s">
        <v>1185</v>
      </c>
      <c r="D129" s="199">
        <v>140000.0</v>
      </c>
      <c r="E129" s="200">
        <f t="shared" si="1"/>
        <v>161000</v>
      </c>
    </row>
    <row r="130" ht="22.5" customHeight="1">
      <c r="A130" s="201"/>
      <c r="B130" s="208"/>
      <c r="C130" s="209" t="s">
        <v>1186</v>
      </c>
      <c r="D130" s="199">
        <v>120000.0</v>
      </c>
      <c r="E130" s="200">
        <f t="shared" si="1"/>
        <v>138000</v>
      </c>
    </row>
    <row r="131" ht="22.5" customHeight="1">
      <c r="A131" s="211"/>
      <c r="B131" s="208"/>
      <c r="C131" s="212" t="s">
        <v>1260</v>
      </c>
      <c r="D131" s="199">
        <v>120000.0</v>
      </c>
      <c r="E131" s="200">
        <f t="shared" si="1"/>
        <v>138000</v>
      </c>
    </row>
    <row r="132" ht="22.5" customHeight="1">
      <c r="A132" s="196" t="s">
        <v>930</v>
      </c>
      <c r="B132" s="204" t="s">
        <v>1276</v>
      </c>
      <c r="C132" s="207" t="s">
        <v>1183</v>
      </c>
      <c r="D132" s="199">
        <v>596000.0</v>
      </c>
      <c r="E132" s="200">
        <f t="shared" si="1"/>
        <v>685400</v>
      </c>
    </row>
    <row r="133" ht="22.5" customHeight="1">
      <c r="A133" s="201"/>
      <c r="B133" s="208"/>
      <c r="C133" s="210" t="s">
        <v>1205</v>
      </c>
      <c r="D133" s="199">
        <v>558000.0</v>
      </c>
      <c r="E133" s="200">
        <f t="shared" si="1"/>
        <v>641700</v>
      </c>
    </row>
    <row r="134" ht="22.5" customHeight="1">
      <c r="A134" s="201"/>
      <c r="B134" s="208"/>
      <c r="C134" s="209" t="s">
        <v>1184</v>
      </c>
      <c r="D134" s="199">
        <v>160000.0</v>
      </c>
      <c r="E134" s="200">
        <f t="shared" si="1"/>
        <v>184000</v>
      </c>
    </row>
    <row r="135" ht="22.5" customHeight="1">
      <c r="A135" s="201"/>
      <c r="B135" s="208"/>
      <c r="C135" s="207" t="s">
        <v>1185</v>
      </c>
      <c r="D135" s="199">
        <v>130000.0</v>
      </c>
      <c r="E135" s="200">
        <f t="shared" si="1"/>
        <v>149500</v>
      </c>
    </row>
    <row r="136" ht="22.5" customHeight="1">
      <c r="A136" s="201"/>
      <c r="B136" s="208"/>
      <c r="C136" s="209" t="s">
        <v>1186</v>
      </c>
      <c r="D136" s="199">
        <v>120000.0</v>
      </c>
      <c r="E136" s="200">
        <f t="shared" si="1"/>
        <v>138000</v>
      </c>
    </row>
    <row r="137" ht="22.5" customHeight="1">
      <c r="A137" s="211"/>
      <c r="B137" s="208"/>
      <c r="C137" s="212" t="s">
        <v>1260</v>
      </c>
      <c r="D137" s="199">
        <v>120000.0</v>
      </c>
      <c r="E137" s="200">
        <f t="shared" si="1"/>
        <v>138000</v>
      </c>
    </row>
    <row r="138" ht="22.5" customHeight="1">
      <c r="A138" s="196" t="s">
        <v>930</v>
      </c>
      <c r="B138" s="204" t="s">
        <v>1277</v>
      </c>
      <c r="C138" s="207" t="s">
        <v>1183</v>
      </c>
      <c r="D138" s="199">
        <v>590000.0</v>
      </c>
      <c r="E138" s="200">
        <f t="shared" si="1"/>
        <v>678500</v>
      </c>
    </row>
    <row r="139" ht="22.5" customHeight="1">
      <c r="A139" s="201"/>
      <c r="B139" s="208"/>
      <c r="C139" s="210" t="s">
        <v>1205</v>
      </c>
      <c r="D139" s="199">
        <v>560000.0</v>
      </c>
      <c r="E139" s="200">
        <f t="shared" si="1"/>
        <v>644000</v>
      </c>
    </row>
    <row r="140" ht="22.5" customHeight="1">
      <c r="A140" s="201"/>
      <c r="B140" s="208"/>
      <c r="C140" s="209" t="s">
        <v>1184</v>
      </c>
      <c r="D140" s="199">
        <v>180000.0</v>
      </c>
      <c r="E140" s="200">
        <f t="shared" si="1"/>
        <v>207000</v>
      </c>
    </row>
    <row r="141" ht="22.5" customHeight="1">
      <c r="A141" s="201"/>
      <c r="B141" s="208"/>
      <c r="C141" s="207" t="s">
        <v>1185</v>
      </c>
      <c r="D141" s="199">
        <v>140000.0</v>
      </c>
      <c r="E141" s="200">
        <f t="shared" si="1"/>
        <v>161000</v>
      </c>
    </row>
    <row r="142" ht="22.5" customHeight="1">
      <c r="A142" s="201"/>
      <c r="B142" s="208"/>
      <c r="C142" s="209" t="s">
        <v>1186</v>
      </c>
      <c r="D142" s="199">
        <v>120000.0</v>
      </c>
      <c r="E142" s="200">
        <f t="shared" si="1"/>
        <v>138000</v>
      </c>
    </row>
    <row r="143" ht="22.5" customHeight="1">
      <c r="A143" s="211"/>
      <c r="B143" s="208"/>
      <c r="C143" s="198" t="s">
        <v>1260</v>
      </c>
      <c r="D143" s="199">
        <v>120000.0</v>
      </c>
      <c r="E143" s="200">
        <f t="shared" si="1"/>
        <v>138000</v>
      </c>
    </row>
    <row r="144" ht="22.5" customHeight="1">
      <c r="A144" s="196" t="s">
        <v>930</v>
      </c>
      <c r="B144" s="204" t="s">
        <v>1278</v>
      </c>
      <c r="C144" s="198" t="s">
        <v>1183</v>
      </c>
      <c r="D144" s="205"/>
      <c r="E144" s="200">
        <f t="shared" si="1"/>
        <v>0</v>
      </c>
    </row>
    <row r="145" ht="22.5" customHeight="1">
      <c r="A145" s="211"/>
      <c r="B145" s="208"/>
      <c r="C145" s="198" t="s">
        <v>1205</v>
      </c>
      <c r="D145" s="205"/>
      <c r="E145" s="200">
        <f t="shared" si="1"/>
        <v>0</v>
      </c>
    </row>
    <row r="146" ht="22.5" customHeight="1">
      <c r="A146" s="211"/>
      <c r="B146" s="208"/>
      <c r="C146" s="198" t="s">
        <v>1184</v>
      </c>
      <c r="D146" s="199">
        <v>160000.0</v>
      </c>
      <c r="E146" s="200">
        <f t="shared" si="1"/>
        <v>184000</v>
      </c>
    </row>
    <row r="147" ht="22.5" customHeight="1">
      <c r="A147" s="211"/>
      <c r="B147" s="208"/>
      <c r="C147" s="198" t="s">
        <v>1185</v>
      </c>
      <c r="D147" s="199">
        <v>130000.0</v>
      </c>
      <c r="E147" s="200">
        <f t="shared" si="1"/>
        <v>149500</v>
      </c>
    </row>
    <row r="148" ht="22.5" customHeight="1">
      <c r="A148" s="211"/>
      <c r="B148" s="208"/>
      <c r="C148" s="198" t="s">
        <v>1186</v>
      </c>
      <c r="D148" s="199">
        <v>120000.0</v>
      </c>
      <c r="E148" s="200">
        <f t="shared" si="1"/>
        <v>138000</v>
      </c>
    </row>
    <row r="149" ht="22.5" customHeight="1">
      <c r="A149" s="211"/>
      <c r="B149" s="208"/>
      <c r="C149" s="198" t="s">
        <v>1260</v>
      </c>
      <c r="D149" s="199">
        <v>120000.0</v>
      </c>
      <c r="E149" s="200">
        <f t="shared" si="1"/>
        <v>138000</v>
      </c>
    </row>
    <row r="150" ht="22.5" customHeight="1">
      <c r="A150" s="196" t="s">
        <v>930</v>
      </c>
      <c r="B150" s="204">
        <v>16.0</v>
      </c>
      <c r="C150" s="198" t="s">
        <v>1183</v>
      </c>
      <c r="D150" s="199">
        <v>987000.0</v>
      </c>
      <c r="E150" s="200">
        <f t="shared" si="1"/>
        <v>1135050</v>
      </c>
    </row>
    <row r="151" ht="22.5" customHeight="1">
      <c r="A151" s="201"/>
      <c r="B151" s="203"/>
      <c r="C151" s="198" t="s">
        <v>1205</v>
      </c>
      <c r="D151" s="199">
        <v>850000.0</v>
      </c>
      <c r="E151" s="200">
        <f t="shared" si="1"/>
        <v>977500</v>
      </c>
    </row>
    <row r="152" ht="22.5" customHeight="1">
      <c r="A152" s="201"/>
      <c r="B152" s="203"/>
      <c r="C152" s="198" t="s">
        <v>1184</v>
      </c>
      <c r="D152" s="205"/>
      <c r="E152" s="200">
        <f t="shared" si="1"/>
        <v>0</v>
      </c>
    </row>
    <row r="153" ht="22.5" customHeight="1">
      <c r="A153" s="201"/>
      <c r="B153" s="203"/>
      <c r="C153" s="198" t="s">
        <v>1185</v>
      </c>
      <c r="D153" s="205"/>
      <c r="E153" s="200">
        <f t="shared" si="1"/>
        <v>0</v>
      </c>
    </row>
    <row r="154" ht="22.5" customHeight="1">
      <c r="A154" s="201"/>
      <c r="B154" s="203"/>
      <c r="C154" s="198" t="s">
        <v>1186</v>
      </c>
      <c r="D154" s="199">
        <v>190000.0</v>
      </c>
      <c r="E154" s="200">
        <f t="shared" si="1"/>
        <v>218500</v>
      </c>
    </row>
    <row r="155" ht="22.5" customHeight="1">
      <c r="A155" s="211"/>
      <c r="B155" s="208"/>
      <c r="C155" s="198" t="s">
        <v>1260</v>
      </c>
      <c r="D155" s="199">
        <v>180000.0</v>
      </c>
      <c r="E155" s="200">
        <f t="shared" si="1"/>
        <v>207000</v>
      </c>
    </row>
    <row r="156" ht="22.5" customHeight="1">
      <c r="A156" s="196" t="s">
        <v>930</v>
      </c>
      <c r="B156" s="204" t="s">
        <v>1279</v>
      </c>
      <c r="C156" s="198" t="s">
        <v>1183</v>
      </c>
      <c r="D156" s="199">
        <v>1325000.0</v>
      </c>
      <c r="E156" s="200">
        <f t="shared" si="1"/>
        <v>1523750</v>
      </c>
    </row>
    <row r="157" ht="22.5" customHeight="1">
      <c r="A157" s="211"/>
      <c r="B157" s="208"/>
      <c r="C157" s="198" t="s">
        <v>1205</v>
      </c>
      <c r="D157" s="199">
        <v>1100000.0</v>
      </c>
      <c r="E157" s="200">
        <f t="shared" si="1"/>
        <v>1265000</v>
      </c>
    </row>
    <row r="158" ht="22.5" customHeight="1">
      <c r="A158" s="211"/>
      <c r="B158" s="208"/>
      <c r="C158" s="198" t="s">
        <v>1184</v>
      </c>
      <c r="D158" s="205"/>
      <c r="E158" s="200">
        <f t="shared" si="1"/>
        <v>0</v>
      </c>
    </row>
    <row r="159" ht="22.5" customHeight="1">
      <c r="A159" s="211"/>
      <c r="B159" s="208"/>
      <c r="C159" s="198" t="s">
        <v>1185</v>
      </c>
      <c r="D159" s="205"/>
      <c r="E159" s="200">
        <f t="shared" si="1"/>
        <v>0</v>
      </c>
    </row>
    <row r="160" ht="22.5" customHeight="1">
      <c r="A160" s="211"/>
      <c r="B160" s="208"/>
      <c r="C160" s="198" t="s">
        <v>1186</v>
      </c>
      <c r="D160" s="199">
        <v>200000.0</v>
      </c>
      <c r="E160" s="200">
        <f t="shared" si="1"/>
        <v>230000</v>
      </c>
    </row>
    <row r="161" ht="22.5" customHeight="1">
      <c r="A161" s="211"/>
      <c r="B161" s="208"/>
      <c r="C161" s="198" t="s">
        <v>1260</v>
      </c>
      <c r="D161" s="199">
        <v>200000.0</v>
      </c>
      <c r="E161" s="200">
        <f t="shared" si="1"/>
        <v>230000</v>
      </c>
    </row>
    <row r="162" ht="22.5" customHeight="1">
      <c r="A162" s="196" t="s">
        <v>930</v>
      </c>
      <c r="B162" s="204" t="s">
        <v>1280</v>
      </c>
      <c r="C162" s="198" t="s">
        <v>1183</v>
      </c>
      <c r="D162" s="199">
        <v>1625000.0</v>
      </c>
      <c r="E162" s="200">
        <f t="shared" si="1"/>
        <v>1868750</v>
      </c>
    </row>
    <row r="163" ht="22.5" customHeight="1">
      <c r="A163" s="211"/>
      <c r="B163" s="208"/>
      <c r="C163" s="198" t="s">
        <v>1205</v>
      </c>
      <c r="D163" s="199">
        <v>1300000.0</v>
      </c>
      <c r="E163" s="200">
        <f t="shared" si="1"/>
        <v>1495000</v>
      </c>
    </row>
    <row r="164" ht="22.5" customHeight="1">
      <c r="A164" s="211"/>
      <c r="B164" s="208"/>
      <c r="C164" s="198" t="s">
        <v>1184</v>
      </c>
      <c r="D164" s="205"/>
      <c r="E164" s="200">
        <f t="shared" si="1"/>
        <v>0</v>
      </c>
    </row>
    <row r="165" ht="22.5" customHeight="1">
      <c r="A165" s="211"/>
      <c r="B165" s="208"/>
      <c r="C165" s="198" t="s">
        <v>1185</v>
      </c>
      <c r="D165" s="205"/>
      <c r="E165" s="200">
        <f t="shared" si="1"/>
        <v>0</v>
      </c>
    </row>
    <row r="166" ht="22.5" customHeight="1">
      <c r="A166" s="211"/>
      <c r="B166" s="208"/>
      <c r="C166" s="198" t="s">
        <v>1186</v>
      </c>
      <c r="D166" s="199">
        <v>250000.0</v>
      </c>
      <c r="E166" s="200">
        <f t="shared" si="1"/>
        <v>287500</v>
      </c>
    </row>
    <row r="167" ht="22.5" customHeight="1">
      <c r="A167" s="211"/>
      <c r="B167" s="208"/>
      <c r="C167" s="198" t="s">
        <v>1260</v>
      </c>
      <c r="D167" s="199">
        <v>250000.0</v>
      </c>
      <c r="E167" s="200">
        <f t="shared" si="1"/>
        <v>287500</v>
      </c>
    </row>
    <row r="168" ht="22.5" customHeight="1">
      <c r="A168" s="196" t="s">
        <v>930</v>
      </c>
      <c r="B168" s="204" t="s">
        <v>1281</v>
      </c>
      <c r="C168" s="198" t="s">
        <v>1183</v>
      </c>
      <c r="D168" s="205"/>
      <c r="E168" s="200">
        <f t="shared" si="1"/>
        <v>0</v>
      </c>
    </row>
    <row r="169" ht="22.5" customHeight="1">
      <c r="A169" s="211"/>
      <c r="B169" s="208"/>
      <c r="C169" s="198" t="s">
        <v>1184</v>
      </c>
      <c r="D169" s="205"/>
      <c r="E169" s="200">
        <f t="shared" si="1"/>
        <v>0</v>
      </c>
    </row>
    <row r="170" ht="22.5" customHeight="1">
      <c r="A170" s="211"/>
      <c r="B170" s="208"/>
      <c r="C170" s="198" t="s">
        <v>1186</v>
      </c>
      <c r="D170" s="199">
        <v>250000.0</v>
      </c>
      <c r="E170" s="200">
        <f t="shared" si="1"/>
        <v>287500</v>
      </c>
    </row>
    <row r="171" ht="22.5" customHeight="1">
      <c r="A171" s="211"/>
      <c r="B171" s="208"/>
      <c r="C171" s="198" t="s">
        <v>1260</v>
      </c>
      <c r="D171" s="199">
        <v>250000.0</v>
      </c>
      <c r="E171" s="200">
        <f t="shared" si="1"/>
        <v>287500</v>
      </c>
    </row>
    <row r="172" ht="22.5" customHeight="1">
      <c r="A172" s="196" t="s">
        <v>930</v>
      </c>
      <c r="B172" s="204">
        <v>17.0</v>
      </c>
      <c r="C172" s="198" t="s">
        <v>1183</v>
      </c>
      <c r="D172" s="205"/>
      <c r="E172" s="200">
        <f t="shared" si="1"/>
        <v>0</v>
      </c>
    </row>
    <row r="173" ht="22.5" customHeight="1">
      <c r="A173" s="211"/>
      <c r="B173" s="208"/>
      <c r="C173" s="198" t="s">
        <v>1205</v>
      </c>
      <c r="D173" s="205"/>
      <c r="E173" s="200">
        <f t="shared" si="1"/>
        <v>0</v>
      </c>
    </row>
    <row r="174" ht="22.5" customHeight="1">
      <c r="A174" s="211"/>
      <c r="B174" s="208"/>
      <c r="C174" s="198" t="s">
        <v>1184</v>
      </c>
      <c r="D174" s="205"/>
      <c r="E174" s="200">
        <f t="shared" si="1"/>
        <v>0</v>
      </c>
    </row>
    <row r="175" ht="22.5" customHeight="1">
      <c r="A175" s="211"/>
      <c r="B175" s="208"/>
      <c r="C175" s="198" t="s">
        <v>1186</v>
      </c>
      <c r="D175" s="205"/>
      <c r="E175" s="200">
        <f t="shared" si="1"/>
        <v>0</v>
      </c>
    </row>
    <row r="176" ht="22.5" customHeight="1">
      <c r="A176" s="196" t="s">
        <v>930</v>
      </c>
      <c r="B176" s="204" t="s">
        <v>1282</v>
      </c>
      <c r="C176" s="198" t="s">
        <v>1183</v>
      </c>
      <c r="D176" s="205"/>
      <c r="E176" s="200">
        <f t="shared" si="1"/>
        <v>0</v>
      </c>
    </row>
    <row r="177" ht="22.5" customHeight="1">
      <c r="A177" s="211"/>
      <c r="B177" s="208"/>
      <c r="C177" s="198" t="s">
        <v>1205</v>
      </c>
      <c r="D177" s="205"/>
      <c r="E177" s="200">
        <f t="shared" si="1"/>
        <v>0</v>
      </c>
    </row>
    <row r="178" ht="22.5" customHeight="1">
      <c r="A178" s="211"/>
      <c r="B178" s="208"/>
      <c r="C178" s="198" t="s">
        <v>1184</v>
      </c>
      <c r="D178" s="205"/>
      <c r="E178" s="200">
        <f t="shared" si="1"/>
        <v>0</v>
      </c>
    </row>
    <row r="179" ht="22.5" customHeight="1">
      <c r="A179" s="211"/>
      <c r="B179" s="208"/>
      <c r="C179" s="198" t="s">
        <v>1186</v>
      </c>
      <c r="D179" s="205"/>
      <c r="E179" s="200">
        <f t="shared" si="1"/>
        <v>0</v>
      </c>
    </row>
    <row r="180" ht="22.5" customHeight="1">
      <c r="A180" s="196" t="s">
        <v>930</v>
      </c>
      <c r="B180" s="204" t="s">
        <v>1283</v>
      </c>
      <c r="C180" s="198" t="s">
        <v>1183</v>
      </c>
      <c r="D180" s="205"/>
      <c r="E180" s="200">
        <f t="shared" si="1"/>
        <v>0</v>
      </c>
    </row>
    <row r="181" ht="22.5" customHeight="1">
      <c r="A181" s="211"/>
      <c r="B181" s="208"/>
      <c r="C181" s="198" t="s">
        <v>1184</v>
      </c>
      <c r="D181" s="205"/>
      <c r="E181" s="200">
        <f t="shared" si="1"/>
        <v>0</v>
      </c>
    </row>
    <row r="182" ht="22.5" customHeight="1">
      <c r="A182" s="211"/>
      <c r="B182" s="208"/>
      <c r="C182" s="198" t="s">
        <v>1185</v>
      </c>
      <c r="D182" s="205"/>
      <c r="E182" s="200">
        <f t="shared" si="1"/>
        <v>0</v>
      </c>
    </row>
    <row r="183" ht="22.5" customHeight="1">
      <c r="A183" s="211"/>
      <c r="B183" s="208"/>
      <c r="C183" s="198" t="s">
        <v>1186</v>
      </c>
      <c r="D183" s="205"/>
      <c r="E183" s="200">
        <f t="shared" si="1"/>
        <v>0</v>
      </c>
    </row>
    <row r="184" ht="22.5" customHeight="1">
      <c r="A184" s="196" t="s">
        <v>930</v>
      </c>
      <c r="B184" s="204" t="s">
        <v>1284</v>
      </c>
      <c r="C184" s="198" t="s">
        <v>1183</v>
      </c>
      <c r="D184" s="205"/>
      <c r="E184" s="200">
        <f t="shared" si="1"/>
        <v>0</v>
      </c>
    </row>
    <row r="185" ht="22.5" customHeight="1">
      <c r="A185" s="201"/>
      <c r="B185" s="203"/>
      <c r="C185" s="198" t="s">
        <v>1184</v>
      </c>
      <c r="D185" s="205"/>
      <c r="E185" s="200">
        <f t="shared" si="1"/>
        <v>0</v>
      </c>
    </row>
    <row r="186" ht="22.5" customHeight="1">
      <c r="A186" s="201"/>
      <c r="B186" s="203"/>
      <c r="C186" s="198" t="s">
        <v>1185</v>
      </c>
      <c r="D186" s="205"/>
      <c r="E186" s="200">
        <f t="shared" si="1"/>
        <v>0</v>
      </c>
    </row>
    <row r="187" ht="22.5" customHeight="1">
      <c r="A187" s="201"/>
      <c r="B187" s="203"/>
      <c r="C187" s="198" t="s">
        <v>1186</v>
      </c>
      <c r="D187" s="205"/>
      <c r="E187" s="200">
        <f t="shared" si="1"/>
        <v>0</v>
      </c>
    </row>
  </sheetData>
  <dataValidations>
    <dataValidation type="list" allowBlank="1" sqref="C2:C187">
      <formula1>"MODULO ORIGINAL,MODULO ALTERATIVO,BATERIA ORIGINAL,BATERIA ALTERNATIVA,PIN DE CARGA,MODULO SAMSUNG ORI,PLACA DE CARGA,TAPA"</formula1>
    </dataValidation>
    <dataValidation type="list" allowBlank="1" sqref="A2:A187">
      <formula1>"SAMSUNG,IPHONE,MOTOROLA,XIAOMI,HUAWEI,TCL"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7.75"/>
    <col customWidth="1" min="3" max="3" width="26.25"/>
    <col customWidth="1" min="4" max="4" width="18.88"/>
    <col customWidth="1" min="5" max="5" width="20.25"/>
    <col customWidth="1" min="6" max="6" width="33.0"/>
  </cols>
  <sheetData>
    <row r="1" ht="22.5" customHeight="1">
      <c r="A1" s="195" t="s">
        <v>1178</v>
      </c>
      <c r="B1" s="195" t="s">
        <v>1179</v>
      </c>
      <c r="C1" s="195" t="s">
        <v>1180</v>
      </c>
      <c r="D1" s="195" t="s">
        <v>1181</v>
      </c>
      <c r="E1" s="195" t="s">
        <v>624</v>
      </c>
    </row>
    <row r="2" ht="22.5" customHeight="1">
      <c r="A2" s="196" t="s">
        <v>626</v>
      </c>
      <c r="B2" s="197" t="s">
        <v>1285</v>
      </c>
      <c r="C2" s="198" t="s">
        <v>1183</v>
      </c>
      <c r="D2" s="199">
        <v>65000.0</v>
      </c>
      <c r="E2" s="200">
        <f t="shared" ref="E2:E200" si="1">(D2*1.15)</f>
        <v>74750</v>
      </c>
    </row>
    <row r="3" ht="22.5" customHeight="1">
      <c r="A3" s="201"/>
      <c r="B3" s="202"/>
      <c r="C3" s="198" t="s">
        <v>1184</v>
      </c>
      <c r="D3" s="199">
        <v>50000.0</v>
      </c>
      <c r="E3" s="200">
        <f t="shared" si="1"/>
        <v>57500</v>
      </c>
    </row>
    <row r="4" ht="22.5" customHeight="1">
      <c r="A4" s="201"/>
      <c r="B4" s="203"/>
      <c r="C4" s="198" t="s">
        <v>1186</v>
      </c>
      <c r="D4" s="199">
        <v>35000.0</v>
      </c>
      <c r="E4" s="200">
        <f t="shared" si="1"/>
        <v>40250</v>
      </c>
    </row>
    <row r="5" ht="22.5" customHeight="1">
      <c r="A5" s="211"/>
      <c r="B5" s="208"/>
      <c r="C5" s="198" t="s">
        <v>1260</v>
      </c>
      <c r="D5" s="199">
        <v>45000.0</v>
      </c>
      <c r="E5" s="200">
        <f t="shared" si="1"/>
        <v>51750</v>
      </c>
    </row>
    <row r="6" ht="22.5" customHeight="1">
      <c r="A6" s="196" t="s">
        <v>626</v>
      </c>
      <c r="B6" s="204" t="s">
        <v>1286</v>
      </c>
      <c r="C6" s="198" t="s">
        <v>1183</v>
      </c>
      <c r="D6" s="199">
        <v>65000.0</v>
      </c>
      <c r="E6" s="200">
        <f t="shared" si="1"/>
        <v>74750</v>
      </c>
    </row>
    <row r="7" ht="22.5" customHeight="1">
      <c r="A7" s="201"/>
      <c r="B7" s="203"/>
      <c r="C7" s="198" t="s">
        <v>1184</v>
      </c>
      <c r="D7" s="199">
        <v>60000.0</v>
      </c>
      <c r="E7" s="200">
        <f t="shared" si="1"/>
        <v>69000</v>
      </c>
    </row>
    <row r="8" ht="22.5" customHeight="1">
      <c r="A8" s="201"/>
      <c r="B8" s="203"/>
      <c r="C8" s="198" t="s">
        <v>1186</v>
      </c>
      <c r="D8" s="199">
        <v>45000.0</v>
      </c>
      <c r="E8" s="200">
        <f t="shared" si="1"/>
        <v>51750</v>
      </c>
    </row>
    <row r="9" ht="22.5" customHeight="1">
      <c r="A9" s="211"/>
      <c r="B9" s="208"/>
      <c r="C9" s="198" t="s">
        <v>1260</v>
      </c>
      <c r="D9" s="199">
        <v>50000.0</v>
      </c>
      <c r="E9" s="200">
        <f t="shared" si="1"/>
        <v>57500</v>
      </c>
    </row>
    <row r="10" ht="22.5" customHeight="1">
      <c r="A10" s="196" t="s">
        <v>626</v>
      </c>
      <c r="B10" s="204" t="s">
        <v>1287</v>
      </c>
      <c r="C10" s="198" t="s">
        <v>1183</v>
      </c>
      <c r="D10" s="199">
        <v>68000.0</v>
      </c>
      <c r="E10" s="200">
        <f t="shared" si="1"/>
        <v>78200</v>
      </c>
    </row>
    <row r="11" ht="22.5" customHeight="1">
      <c r="A11" s="201"/>
      <c r="B11" s="203"/>
      <c r="C11" s="198" t="s">
        <v>1184</v>
      </c>
      <c r="D11" s="199">
        <v>58000.0</v>
      </c>
      <c r="E11" s="200">
        <f t="shared" si="1"/>
        <v>66700</v>
      </c>
    </row>
    <row r="12" ht="22.5" customHeight="1">
      <c r="A12" s="201"/>
      <c r="B12" s="203"/>
      <c r="C12" s="198" t="s">
        <v>1186</v>
      </c>
      <c r="D12" s="199">
        <v>45000.0</v>
      </c>
      <c r="E12" s="200">
        <f t="shared" si="1"/>
        <v>51750</v>
      </c>
    </row>
    <row r="13" ht="22.5" customHeight="1">
      <c r="A13" s="211"/>
      <c r="B13" s="208"/>
      <c r="C13" s="198" t="s">
        <v>1260</v>
      </c>
      <c r="D13" s="199">
        <v>50000.0</v>
      </c>
      <c r="E13" s="200">
        <f t="shared" si="1"/>
        <v>57500</v>
      </c>
    </row>
    <row r="14" ht="22.5" customHeight="1">
      <c r="A14" s="196" t="s">
        <v>626</v>
      </c>
      <c r="B14" s="204" t="s">
        <v>1288</v>
      </c>
      <c r="C14" s="198" t="s">
        <v>1183</v>
      </c>
      <c r="D14" s="205">
        <v>78000.0</v>
      </c>
      <c r="E14" s="200">
        <f t="shared" si="1"/>
        <v>89700</v>
      </c>
    </row>
    <row r="15" ht="22.5" customHeight="1">
      <c r="A15" s="201"/>
      <c r="B15" s="203"/>
      <c r="C15" s="198" t="s">
        <v>1184</v>
      </c>
      <c r="D15" s="199">
        <v>68000.0</v>
      </c>
      <c r="E15" s="200">
        <f t="shared" si="1"/>
        <v>78200</v>
      </c>
    </row>
    <row r="16" ht="22.5" customHeight="1">
      <c r="A16" s="201"/>
      <c r="B16" s="203"/>
      <c r="C16" s="198" t="s">
        <v>1185</v>
      </c>
      <c r="D16" s="199">
        <v>59000.0</v>
      </c>
      <c r="E16" s="200">
        <f t="shared" si="1"/>
        <v>67850</v>
      </c>
    </row>
    <row r="17" ht="22.5" customHeight="1">
      <c r="A17" s="201"/>
      <c r="B17" s="203"/>
      <c r="C17" s="198" t="s">
        <v>1186</v>
      </c>
      <c r="D17" s="199">
        <v>45000.0</v>
      </c>
      <c r="E17" s="200">
        <f t="shared" si="1"/>
        <v>51750</v>
      </c>
    </row>
    <row r="18" ht="22.5" customHeight="1">
      <c r="A18" s="211"/>
      <c r="B18" s="208"/>
      <c r="C18" s="198" t="s">
        <v>1260</v>
      </c>
      <c r="D18" s="199">
        <v>55000.0</v>
      </c>
      <c r="E18" s="200">
        <f t="shared" si="1"/>
        <v>63250</v>
      </c>
    </row>
    <row r="19" ht="22.5" customHeight="1">
      <c r="A19" s="196" t="s">
        <v>626</v>
      </c>
      <c r="B19" s="204" t="s">
        <v>1289</v>
      </c>
      <c r="C19" s="198" t="s">
        <v>1183</v>
      </c>
      <c r="D19" s="199">
        <v>80000.0</v>
      </c>
      <c r="E19" s="200">
        <f t="shared" si="1"/>
        <v>92000</v>
      </c>
    </row>
    <row r="20" ht="22.5" customHeight="1">
      <c r="A20" s="201"/>
      <c r="B20" s="203"/>
      <c r="C20" s="198" t="s">
        <v>1184</v>
      </c>
      <c r="D20" s="199">
        <v>65000.0</v>
      </c>
      <c r="E20" s="200">
        <f t="shared" si="1"/>
        <v>74750</v>
      </c>
    </row>
    <row r="21" ht="22.5" customHeight="1">
      <c r="A21" s="201"/>
      <c r="B21" s="203"/>
      <c r="C21" s="198" t="s">
        <v>1185</v>
      </c>
      <c r="D21" s="199">
        <v>59000.0</v>
      </c>
      <c r="E21" s="200">
        <f t="shared" si="1"/>
        <v>67850</v>
      </c>
    </row>
    <row r="22" ht="22.5" customHeight="1">
      <c r="A22" s="201"/>
      <c r="B22" s="203"/>
      <c r="C22" s="198" t="s">
        <v>1186</v>
      </c>
      <c r="D22" s="199">
        <v>45000.0</v>
      </c>
      <c r="E22" s="200">
        <f t="shared" si="1"/>
        <v>51750</v>
      </c>
    </row>
    <row r="23" ht="22.5" customHeight="1">
      <c r="A23" s="211"/>
      <c r="B23" s="208"/>
      <c r="C23" s="198" t="s">
        <v>1260</v>
      </c>
      <c r="D23" s="205"/>
      <c r="E23" s="200">
        <f t="shared" si="1"/>
        <v>0</v>
      </c>
    </row>
    <row r="24" ht="22.5" customHeight="1">
      <c r="A24" s="196" t="s">
        <v>626</v>
      </c>
      <c r="B24" s="204" t="s">
        <v>1290</v>
      </c>
      <c r="C24" s="198" t="s">
        <v>1183</v>
      </c>
      <c r="D24" s="205"/>
      <c r="E24" s="200">
        <f t="shared" si="1"/>
        <v>0</v>
      </c>
    </row>
    <row r="25" ht="22.5" customHeight="1">
      <c r="A25" s="201"/>
      <c r="B25" s="203"/>
      <c r="C25" s="198" t="s">
        <v>1184</v>
      </c>
      <c r="D25" s="199">
        <v>68000.0</v>
      </c>
      <c r="E25" s="200">
        <f t="shared" si="1"/>
        <v>78200</v>
      </c>
    </row>
    <row r="26" ht="22.5" customHeight="1">
      <c r="A26" s="201"/>
      <c r="B26" s="203"/>
      <c r="C26" s="198" t="s">
        <v>1185</v>
      </c>
      <c r="D26" s="199">
        <v>59000.0</v>
      </c>
      <c r="E26" s="200">
        <f t="shared" si="1"/>
        <v>67850</v>
      </c>
    </row>
    <row r="27" ht="22.5" customHeight="1">
      <c r="A27" s="201"/>
      <c r="B27" s="203"/>
      <c r="C27" s="198" t="s">
        <v>1186</v>
      </c>
      <c r="D27" s="199">
        <v>45000.0</v>
      </c>
      <c r="E27" s="200">
        <f t="shared" si="1"/>
        <v>51750</v>
      </c>
    </row>
    <row r="28" ht="22.5" customHeight="1">
      <c r="A28" s="211"/>
      <c r="B28" s="208"/>
      <c r="C28" s="198" t="s">
        <v>1260</v>
      </c>
      <c r="D28" s="205"/>
      <c r="E28" s="200">
        <f t="shared" si="1"/>
        <v>0</v>
      </c>
    </row>
    <row r="29" ht="22.5" customHeight="1">
      <c r="A29" s="196" t="s">
        <v>626</v>
      </c>
      <c r="B29" s="204" t="s">
        <v>1291</v>
      </c>
      <c r="C29" s="198" t="s">
        <v>1183</v>
      </c>
      <c r="D29" s="199">
        <v>70000.0</v>
      </c>
      <c r="E29" s="200">
        <f t="shared" si="1"/>
        <v>80500</v>
      </c>
    </row>
    <row r="30" ht="22.5" customHeight="1">
      <c r="A30" s="201"/>
      <c r="B30" s="203"/>
      <c r="C30" s="198" t="s">
        <v>1184</v>
      </c>
      <c r="D30" s="199">
        <v>55000.0</v>
      </c>
      <c r="E30" s="200">
        <f t="shared" si="1"/>
        <v>63250</v>
      </c>
    </row>
    <row r="31" ht="22.5" customHeight="1">
      <c r="A31" s="201"/>
      <c r="B31" s="203"/>
      <c r="C31" s="198" t="s">
        <v>1186</v>
      </c>
      <c r="D31" s="199">
        <v>35000.0</v>
      </c>
      <c r="E31" s="200">
        <f t="shared" si="1"/>
        <v>40250</v>
      </c>
    </row>
    <row r="32" ht="22.5" customHeight="1">
      <c r="A32" s="211"/>
      <c r="B32" s="208"/>
      <c r="C32" s="198" t="s">
        <v>1260</v>
      </c>
      <c r="D32" s="199">
        <v>50000.0</v>
      </c>
      <c r="E32" s="200">
        <f t="shared" si="1"/>
        <v>57500</v>
      </c>
    </row>
    <row r="33" ht="22.5" customHeight="1">
      <c r="A33" s="196" t="s">
        <v>626</v>
      </c>
      <c r="B33" s="204" t="s">
        <v>1292</v>
      </c>
      <c r="C33" s="198" t="s">
        <v>1183</v>
      </c>
      <c r="D33" s="199">
        <v>72000.0</v>
      </c>
      <c r="E33" s="200">
        <f t="shared" si="1"/>
        <v>82800</v>
      </c>
    </row>
    <row r="34" ht="22.5" customHeight="1">
      <c r="A34" s="201"/>
      <c r="B34" s="203"/>
      <c r="C34" s="198" t="s">
        <v>1184</v>
      </c>
      <c r="D34" s="199">
        <v>55000.0</v>
      </c>
      <c r="E34" s="200">
        <f t="shared" si="1"/>
        <v>63250</v>
      </c>
    </row>
    <row r="35" ht="22.5" customHeight="1">
      <c r="A35" s="201"/>
      <c r="B35" s="203"/>
      <c r="C35" s="198" t="s">
        <v>1186</v>
      </c>
      <c r="D35" s="199">
        <v>35000.0</v>
      </c>
      <c r="E35" s="200">
        <f t="shared" si="1"/>
        <v>40250</v>
      </c>
    </row>
    <row r="36" ht="22.5" customHeight="1">
      <c r="A36" s="211"/>
      <c r="B36" s="208"/>
      <c r="C36" s="198" t="s">
        <v>1260</v>
      </c>
      <c r="D36" s="199">
        <v>50000.0</v>
      </c>
      <c r="E36" s="200">
        <f t="shared" si="1"/>
        <v>57500</v>
      </c>
    </row>
    <row r="37" ht="22.5" customHeight="1">
      <c r="A37" s="196" t="s">
        <v>626</v>
      </c>
      <c r="B37" s="204" t="s">
        <v>1293</v>
      </c>
      <c r="C37" s="198" t="s">
        <v>1183</v>
      </c>
      <c r="D37" s="199">
        <v>72000.0</v>
      </c>
      <c r="E37" s="200">
        <f t="shared" si="1"/>
        <v>82800</v>
      </c>
    </row>
    <row r="38" ht="22.5" customHeight="1">
      <c r="A38" s="201"/>
      <c r="B38" s="203"/>
      <c r="C38" s="198" t="s">
        <v>1184</v>
      </c>
      <c r="D38" s="199">
        <v>55000.0</v>
      </c>
      <c r="E38" s="200">
        <f t="shared" si="1"/>
        <v>63250</v>
      </c>
    </row>
    <row r="39" ht="22.5" customHeight="1">
      <c r="A39" s="201"/>
      <c r="B39" s="203"/>
      <c r="C39" s="198" t="s">
        <v>1186</v>
      </c>
      <c r="D39" s="199">
        <v>35000.0</v>
      </c>
      <c r="E39" s="200">
        <f t="shared" si="1"/>
        <v>40250</v>
      </c>
    </row>
    <row r="40" ht="22.5" customHeight="1">
      <c r="A40" s="211"/>
      <c r="B40" s="208"/>
      <c r="C40" s="198" t="s">
        <v>1260</v>
      </c>
      <c r="D40" s="199">
        <v>50000.0</v>
      </c>
      <c r="E40" s="200">
        <f t="shared" si="1"/>
        <v>57500</v>
      </c>
    </row>
    <row r="41" ht="22.5" customHeight="1">
      <c r="A41" s="196" t="s">
        <v>626</v>
      </c>
      <c r="B41" s="204" t="s">
        <v>1294</v>
      </c>
      <c r="C41" s="198" t="s">
        <v>1183</v>
      </c>
      <c r="D41" s="199">
        <v>75000.0</v>
      </c>
      <c r="E41" s="200">
        <f t="shared" si="1"/>
        <v>86250</v>
      </c>
    </row>
    <row r="42" ht="22.5" customHeight="1">
      <c r="A42" s="201"/>
      <c r="B42" s="203"/>
      <c r="C42" s="198" t="s">
        <v>1184</v>
      </c>
      <c r="D42" s="199">
        <v>65000.0</v>
      </c>
      <c r="E42" s="200">
        <f t="shared" si="1"/>
        <v>74750</v>
      </c>
    </row>
    <row r="43" ht="22.5" customHeight="1">
      <c r="A43" s="201"/>
      <c r="B43" s="203"/>
      <c r="C43" s="198" t="s">
        <v>1186</v>
      </c>
      <c r="D43" s="199">
        <v>45000.0</v>
      </c>
      <c r="E43" s="200">
        <f t="shared" si="1"/>
        <v>51750</v>
      </c>
    </row>
    <row r="44" ht="22.5" customHeight="1">
      <c r="A44" s="211"/>
      <c r="B44" s="208"/>
      <c r="C44" s="198" t="s">
        <v>1260</v>
      </c>
      <c r="D44" s="199">
        <v>55000.0</v>
      </c>
      <c r="E44" s="200">
        <f t="shared" si="1"/>
        <v>63250</v>
      </c>
    </row>
    <row r="45" ht="22.5" customHeight="1">
      <c r="A45" s="196" t="s">
        <v>626</v>
      </c>
      <c r="B45" s="204" t="s">
        <v>1295</v>
      </c>
      <c r="C45" s="198" t="s">
        <v>1183</v>
      </c>
      <c r="D45" s="199">
        <v>75000.0</v>
      </c>
      <c r="E45" s="200">
        <f t="shared" si="1"/>
        <v>86250</v>
      </c>
    </row>
    <row r="46" ht="22.5" customHeight="1">
      <c r="A46" s="201"/>
      <c r="B46" s="203"/>
      <c r="C46" s="198" t="s">
        <v>1184</v>
      </c>
      <c r="D46" s="199">
        <v>65000.0</v>
      </c>
      <c r="E46" s="200">
        <f t="shared" si="1"/>
        <v>74750</v>
      </c>
    </row>
    <row r="47" ht="22.5" customHeight="1">
      <c r="A47" s="201"/>
      <c r="B47" s="203"/>
      <c r="C47" s="198" t="s">
        <v>1186</v>
      </c>
      <c r="D47" s="199">
        <v>45000.0</v>
      </c>
      <c r="E47" s="200">
        <f t="shared" si="1"/>
        <v>51750</v>
      </c>
    </row>
    <row r="48" ht="22.5" customHeight="1">
      <c r="A48" s="211"/>
      <c r="B48" s="208"/>
      <c r="C48" s="198" t="s">
        <v>1260</v>
      </c>
      <c r="D48" s="199">
        <v>55000.0</v>
      </c>
      <c r="E48" s="200">
        <f t="shared" si="1"/>
        <v>63250</v>
      </c>
    </row>
    <row r="49" ht="22.5" customHeight="1">
      <c r="A49" s="196" t="s">
        <v>626</v>
      </c>
      <c r="B49" s="204" t="s">
        <v>1296</v>
      </c>
      <c r="C49" s="198" t="s">
        <v>1183</v>
      </c>
      <c r="D49" s="199">
        <v>70000.0</v>
      </c>
      <c r="E49" s="200">
        <f t="shared" si="1"/>
        <v>80500</v>
      </c>
    </row>
    <row r="50" ht="22.5" customHeight="1">
      <c r="A50" s="201"/>
      <c r="B50" s="203"/>
      <c r="C50" s="198" t="s">
        <v>1184</v>
      </c>
      <c r="D50" s="199">
        <v>55000.0</v>
      </c>
      <c r="E50" s="200">
        <f t="shared" si="1"/>
        <v>63250</v>
      </c>
    </row>
    <row r="51" ht="22.5" customHeight="1">
      <c r="A51" s="201"/>
      <c r="B51" s="203"/>
      <c r="C51" s="198" t="s">
        <v>1186</v>
      </c>
      <c r="D51" s="199">
        <v>45000.0</v>
      </c>
      <c r="E51" s="200">
        <f t="shared" si="1"/>
        <v>51750</v>
      </c>
    </row>
    <row r="52" ht="22.5" customHeight="1">
      <c r="A52" s="211"/>
      <c r="B52" s="208"/>
      <c r="C52" s="198" t="s">
        <v>1260</v>
      </c>
      <c r="D52" s="199">
        <v>55000.0</v>
      </c>
      <c r="E52" s="200">
        <f t="shared" si="1"/>
        <v>63250</v>
      </c>
    </row>
    <row r="53" ht="22.5" customHeight="1">
      <c r="A53" s="196" t="s">
        <v>626</v>
      </c>
      <c r="B53" s="204" t="s">
        <v>1297</v>
      </c>
      <c r="C53" s="198" t="s">
        <v>1183</v>
      </c>
      <c r="D53" s="199">
        <v>85000.0</v>
      </c>
      <c r="E53" s="200">
        <f t="shared" si="1"/>
        <v>97750</v>
      </c>
    </row>
    <row r="54" ht="22.5" customHeight="1">
      <c r="A54" s="201"/>
      <c r="B54" s="203"/>
      <c r="C54" s="198" t="s">
        <v>1184</v>
      </c>
      <c r="D54" s="199">
        <v>65000.0</v>
      </c>
      <c r="E54" s="200">
        <f t="shared" si="1"/>
        <v>74750</v>
      </c>
    </row>
    <row r="55" ht="22.5" customHeight="1">
      <c r="A55" s="201"/>
      <c r="B55" s="203"/>
      <c r="C55" s="198" t="s">
        <v>1186</v>
      </c>
      <c r="D55" s="199">
        <v>45000.0</v>
      </c>
      <c r="E55" s="200">
        <f t="shared" si="1"/>
        <v>51750</v>
      </c>
    </row>
    <row r="56" ht="22.5" customHeight="1">
      <c r="A56" s="211"/>
      <c r="B56" s="208"/>
      <c r="C56" s="198" t="s">
        <v>1260</v>
      </c>
      <c r="D56" s="199">
        <v>55000.0</v>
      </c>
      <c r="E56" s="200">
        <f t="shared" si="1"/>
        <v>63250</v>
      </c>
    </row>
    <row r="57" ht="22.5" customHeight="1">
      <c r="A57" s="196" t="s">
        <v>626</v>
      </c>
      <c r="B57" s="204" t="s">
        <v>1298</v>
      </c>
      <c r="C57" s="198" t="s">
        <v>1183</v>
      </c>
      <c r="D57" s="199">
        <v>65000.0</v>
      </c>
      <c r="E57" s="200">
        <f t="shared" si="1"/>
        <v>74750</v>
      </c>
    </row>
    <row r="58" ht="22.5" customHeight="1">
      <c r="A58" s="201"/>
      <c r="B58" s="203"/>
      <c r="C58" s="198" t="s">
        <v>1184</v>
      </c>
      <c r="D58" s="199">
        <v>50000.0</v>
      </c>
      <c r="E58" s="200">
        <f t="shared" si="1"/>
        <v>57500</v>
      </c>
    </row>
    <row r="59" ht="22.5" customHeight="1">
      <c r="A59" s="201"/>
      <c r="B59" s="203"/>
      <c r="C59" s="198" t="s">
        <v>1186</v>
      </c>
      <c r="D59" s="199">
        <v>35000.0</v>
      </c>
      <c r="E59" s="200">
        <f t="shared" si="1"/>
        <v>40250</v>
      </c>
    </row>
    <row r="60" ht="22.5" customHeight="1">
      <c r="A60" s="211"/>
      <c r="B60" s="208"/>
      <c r="C60" s="198" t="s">
        <v>1260</v>
      </c>
      <c r="D60" s="205"/>
      <c r="E60" s="200">
        <f t="shared" si="1"/>
        <v>0</v>
      </c>
    </row>
    <row r="61" ht="22.5" customHeight="1">
      <c r="A61" s="196" t="s">
        <v>626</v>
      </c>
      <c r="B61" s="204" t="s">
        <v>1299</v>
      </c>
      <c r="C61" s="198" t="s">
        <v>1183</v>
      </c>
      <c r="D61" s="199">
        <v>65000.0</v>
      </c>
      <c r="E61" s="200">
        <f t="shared" si="1"/>
        <v>74750</v>
      </c>
    </row>
    <row r="62" ht="22.5" customHeight="1">
      <c r="A62" s="201"/>
      <c r="B62" s="203"/>
      <c r="C62" s="198" t="s">
        <v>1184</v>
      </c>
      <c r="D62" s="199">
        <v>50000.0</v>
      </c>
      <c r="E62" s="200">
        <f t="shared" si="1"/>
        <v>57500</v>
      </c>
    </row>
    <row r="63" ht="22.5" customHeight="1">
      <c r="A63" s="201"/>
      <c r="B63" s="203"/>
      <c r="C63" s="198" t="s">
        <v>1186</v>
      </c>
      <c r="D63" s="199">
        <v>35000.0</v>
      </c>
      <c r="E63" s="200">
        <f t="shared" si="1"/>
        <v>40250</v>
      </c>
    </row>
    <row r="64" ht="22.5" customHeight="1">
      <c r="A64" s="211"/>
      <c r="B64" s="208"/>
      <c r="C64" s="198" t="s">
        <v>1260</v>
      </c>
      <c r="D64" s="205">
        <v>45000.0</v>
      </c>
      <c r="E64" s="200">
        <f t="shared" si="1"/>
        <v>51750</v>
      </c>
    </row>
    <row r="65" ht="22.5" customHeight="1">
      <c r="A65" s="196" t="s">
        <v>626</v>
      </c>
      <c r="B65" s="204" t="s">
        <v>1300</v>
      </c>
      <c r="C65" s="198" t="s">
        <v>1183</v>
      </c>
      <c r="D65" s="199">
        <v>75000.0</v>
      </c>
      <c r="E65" s="200">
        <f t="shared" si="1"/>
        <v>86250</v>
      </c>
    </row>
    <row r="66" ht="22.5" customHeight="1">
      <c r="A66" s="201"/>
      <c r="B66" s="208" t="s">
        <v>1301</v>
      </c>
      <c r="C66" s="198" t="s">
        <v>1184</v>
      </c>
      <c r="D66" s="199">
        <v>55000.0</v>
      </c>
      <c r="E66" s="200">
        <f t="shared" si="1"/>
        <v>63250</v>
      </c>
    </row>
    <row r="67" ht="22.5" customHeight="1">
      <c r="A67" s="201"/>
      <c r="B67" s="203"/>
      <c r="C67" s="198" t="s">
        <v>1186</v>
      </c>
      <c r="D67" s="199">
        <v>45000.0</v>
      </c>
      <c r="E67" s="200">
        <f t="shared" si="1"/>
        <v>51750</v>
      </c>
    </row>
    <row r="68" ht="22.5" customHeight="1">
      <c r="A68" s="211"/>
      <c r="B68" s="208"/>
      <c r="C68" s="198" t="s">
        <v>1260</v>
      </c>
      <c r="D68" s="199">
        <v>50000.0</v>
      </c>
      <c r="E68" s="200">
        <f t="shared" si="1"/>
        <v>57500</v>
      </c>
    </row>
    <row r="69" ht="22.5" customHeight="1">
      <c r="A69" s="196" t="s">
        <v>626</v>
      </c>
      <c r="B69" s="204" t="s">
        <v>1302</v>
      </c>
      <c r="C69" s="198" t="s">
        <v>1183</v>
      </c>
      <c r="D69" s="199">
        <v>75000.0</v>
      </c>
      <c r="E69" s="200">
        <f t="shared" si="1"/>
        <v>86250</v>
      </c>
    </row>
    <row r="70" ht="22.5" customHeight="1">
      <c r="A70" s="201"/>
      <c r="B70" s="208" t="s">
        <v>1303</v>
      </c>
      <c r="C70" s="198" t="s">
        <v>1184</v>
      </c>
      <c r="D70" s="199">
        <v>55000.0</v>
      </c>
      <c r="E70" s="200">
        <f t="shared" si="1"/>
        <v>63250</v>
      </c>
    </row>
    <row r="71" ht="22.5" customHeight="1">
      <c r="A71" s="201"/>
      <c r="B71" s="203"/>
      <c r="C71" s="198" t="s">
        <v>1186</v>
      </c>
      <c r="D71" s="199">
        <v>45000.0</v>
      </c>
      <c r="E71" s="200">
        <f t="shared" si="1"/>
        <v>51750</v>
      </c>
    </row>
    <row r="72" ht="22.5" customHeight="1">
      <c r="A72" s="211"/>
      <c r="B72" s="208"/>
      <c r="C72" s="198" t="s">
        <v>1260</v>
      </c>
      <c r="D72" s="199">
        <v>50000.0</v>
      </c>
      <c r="E72" s="200">
        <f t="shared" si="1"/>
        <v>57500</v>
      </c>
    </row>
    <row r="73" ht="22.5" customHeight="1">
      <c r="A73" s="196" t="s">
        <v>626</v>
      </c>
      <c r="B73" s="204" t="s">
        <v>1304</v>
      </c>
      <c r="C73" s="198" t="s">
        <v>1183</v>
      </c>
      <c r="D73" s="199">
        <v>78000.0</v>
      </c>
      <c r="E73" s="200">
        <f t="shared" si="1"/>
        <v>89700</v>
      </c>
    </row>
    <row r="74" ht="22.5" customHeight="1">
      <c r="A74" s="201"/>
      <c r="B74" s="203"/>
      <c r="C74" s="198" t="s">
        <v>1184</v>
      </c>
      <c r="D74" s="199">
        <v>55000.0</v>
      </c>
      <c r="E74" s="200">
        <f t="shared" si="1"/>
        <v>63250</v>
      </c>
    </row>
    <row r="75" ht="22.5" customHeight="1">
      <c r="A75" s="201"/>
      <c r="B75" s="203"/>
      <c r="C75" s="198" t="s">
        <v>1186</v>
      </c>
      <c r="D75" s="199">
        <v>45000.0</v>
      </c>
      <c r="E75" s="200">
        <f t="shared" si="1"/>
        <v>51750</v>
      </c>
    </row>
    <row r="76" ht="22.5" customHeight="1">
      <c r="A76" s="211"/>
      <c r="B76" s="208"/>
      <c r="C76" s="198" t="s">
        <v>1260</v>
      </c>
      <c r="D76" s="199">
        <v>50000.0</v>
      </c>
      <c r="E76" s="200">
        <f t="shared" si="1"/>
        <v>57500</v>
      </c>
    </row>
    <row r="77" ht="22.5" customHeight="1">
      <c r="A77" s="196" t="s">
        <v>626</v>
      </c>
      <c r="B77" s="204" t="s">
        <v>1305</v>
      </c>
      <c r="C77" s="198" t="s">
        <v>1183</v>
      </c>
      <c r="D77" s="205"/>
      <c r="E77" s="200">
        <f t="shared" si="1"/>
        <v>0</v>
      </c>
    </row>
    <row r="78" ht="22.5" customHeight="1">
      <c r="A78" s="201"/>
      <c r="B78" s="208"/>
      <c r="C78" s="198" t="s">
        <v>1184</v>
      </c>
      <c r="D78" s="199">
        <v>60000.0</v>
      </c>
      <c r="E78" s="200">
        <f t="shared" si="1"/>
        <v>69000</v>
      </c>
    </row>
    <row r="79" ht="22.5" customHeight="1">
      <c r="A79" s="201"/>
      <c r="B79" s="203"/>
      <c r="C79" s="198" t="s">
        <v>1186</v>
      </c>
      <c r="D79" s="199">
        <v>45000.0</v>
      </c>
      <c r="E79" s="200">
        <f t="shared" si="1"/>
        <v>51750</v>
      </c>
    </row>
    <row r="80" ht="22.5" customHeight="1">
      <c r="A80" s="211"/>
      <c r="B80" s="208"/>
      <c r="C80" s="212" t="s">
        <v>1260</v>
      </c>
      <c r="D80" s="199">
        <v>50000.0</v>
      </c>
      <c r="E80" s="200">
        <f t="shared" si="1"/>
        <v>57500</v>
      </c>
    </row>
    <row r="81" ht="22.5" customHeight="1">
      <c r="A81" s="196" t="s">
        <v>626</v>
      </c>
      <c r="B81" s="204" t="s">
        <v>1306</v>
      </c>
      <c r="C81" s="207" t="s">
        <v>1183</v>
      </c>
      <c r="D81" s="199">
        <v>68000.0</v>
      </c>
      <c r="E81" s="200">
        <f t="shared" si="1"/>
        <v>78200</v>
      </c>
    </row>
    <row r="82" ht="22.5" customHeight="1">
      <c r="A82" s="201"/>
      <c r="B82" s="208" t="s">
        <v>1307</v>
      </c>
      <c r="C82" s="209" t="s">
        <v>1184</v>
      </c>
      <c r="D82" s="199">
        <v>60000.0</v>
      </c>
      <c r="E82" s="200">
        <f t="shared" si="1"/>
        <v>69000</v>
      </c>
    </row>
    <row r="83" ht="22.5" customHeight="1">
      <c r="A83" s="201"/>
      <c r="B83" s="208"/>
      <c r="C83" s="209" t="s">
        <v>1186</v>
      </c>
      <c r="D83" s="199">
        <v>45000.0</v>
      </c>
      <c r="E83" s="200">
        <f t="shared" si="1"/>
        <v>51750</v>
      </c>
    </row>
    <row r="84" ht="22.5" customHeight="1">
      <c r="A84" s="211"/>
      <c r="B84" s="208"/>
      <c r="C84" s="212" t="s">
        <v>1260</v>
      </c>
      <c r="D84" s="199">
        <v>50000.0</v>
      </c>
      <c r="E84" s="200">
        <f t="shared" si="1"/>
        <v>57500</v>
      </c>
    </row>
    <row r="85" ht="22.5" customHeight="1">
      <c r="A85" s="196" t="s">
        <v>626</v>
      </c>
      <c r="B85" s="204" t="s">
        <v>1308</v>
      </c>
      <c r="C85" s="207" t="s">
        <v>1183</v>
      </c>
      <c r="D85" s="199">
        <v>70000.0</v>
      </c>
      <c r="E85" s="200">
        <f t="shared" si="1"/>
        <v>80500</v>
      </c>
    </row>
    <row r="86" ht="22.5" customHeight="1">
      <c r="A86" s="201"/>
      <c r="B86" s="208"/>
      <c r="C86" s="209" t="s">
        <v>1184</v>
      </c>
      <c r="D86" s="199">
        <v>55000.0</v>
      </c>
      <c r="E86" s="200">
        <f t="shared" si="1"/>
        <v>63250</v>
      </c>
    </row>
    <row r="87" ht="22.5" customHeight="1">
      <c r="A87" s="201"/>
      <c r="B87" s="208"/>
      <c r="C87" s="209" t="s">
        <v>1186</v>
      </c>
      <c r="D87" s="199">
        <v>45000.0</v>
      </c>
      <c r="E87" s="200">
        <f t="shared" si="1"/>
        <v>51750</v>
      </c>
    </row>
    <row r="88" ht="22.5" customHeight="1">
      <c r="A88" s="211"/>
      <c r="B88" s="208"/>
      <c r="C88" s="212" t="s">
        <v>1260</v>
      </c>
      <c r="D88" s="205"/>
      <c r="E88" s="200">
        <f t="shared" si="1"/>
        <v>0</v>
      </c>
    </row>
    <row r="89" ht="22.5" customHeight="1">
      <c r="A89" s="196" t="s">
        <v>626</v>
      </c>
      <c r="B89" s="204" t="s">
        <v>1309</v>
      </c>
      <c r="C89" s="207" t="s">
        <v>1183</v>
      </c>
      <c r="D89" s="199">
        <v>72000.0</v>
      </c>
      <c r="E89" s="200">
        <f t="shared" si="1"/>
        <v>82800</v>
      </c>
    </row>
    <row r="90" ht="22.5" customHeight="1">
      <c r="A90" s="201"/>
      <c r="B90" s="208"/>
      <c r="C90" s="209" t="s">
        <v>1184</v>
      </c>
      <c r="D90" s="199">
        <v>60000.0</v>
      </c>
      <c r="E90" s="200">
        <f t="shared" si="1"/>
        <v>69000</v>
      </c>
    </row>
    <row r="91" ht="22.5" customHeight="1">
      <c r="A91" s="201"/>
      <c r="B91" s="208"/>
      <c r="C91" s="210" t="s">
        <v>1186</v>
      </c>
      <c r="D91" s="199">
        <v>45000.0</v>
      </c>
      <c r="E91" s="200">
        <f t="shared" si="1"/>
        <v>51750</v>
      </c>
    </row>
    <row r="92" ht="22.5" customHeight="1">
      <c r="A92" s="211"/>
      <c r="B92" s="208"/>
      <c r="C92" s="212" t="s">
        <v>1260</v>
      </c>
      <c r="D92" s="199">
        <v>50000.0</v>
      </c>
      <c r="E92" s="200">
        <f t="shared" si="1"/>
        <v>57500</v>
      </c>
    </row>
    <row r="93" ht="22.5" customHeight="1">
      <c r="A93" s="196" t="s">
        <v>626</v>
      </c>
      <c r="B93" s="204" t="s">
        <v>1310</v>
      </c>
      <c r="C93" s="207" t="s">
        <v>1183</v>
      </c>
      <c r="D93" s="199">
        <v>75000.0</v>
      </c>
      <c r="E93" s="200">
        <f t="shared" si="1"/>
        <v>86250</v>
      </c>
    </row>
    <row r="94" ht="22.5" customHeight="1">
      <c r="A94" s="201"/>
      <c r="B94" s="208"/>
      <c r="C94" s="209" t="s">
        <v>1184</v>
      </c>
      <c r="D94" s="199">
        <v>65000.0</v>
      </c>
      <c r="E94" s="200">
        <f t="shared" si="1"/>
        <v>74750</v>
      </c>
    </row>
    <row r="95" ht="22.5" customHeight="1">
      <c r="A95" s="201"/>
      <c r="B95" s="208"/>
      <c r="C95" s="209" t="s">
        <v>1186</v>
      </c>
      <c r="D95" s="199">
        <v>45000.0</v>
      </c>
      <c r="E95" s="200">
        <f t="shared" si="1"/>
        <v>51750</v>
      </c>
    </row>
    <row r="96" ht="22.5" customHeight="1">
      <c r="A96" s="211"/>
      <c r="B96" s="208"/>
      <c r="C96" s="212" t="s">
        <v>1260</v>
      </c>
      <c r="D96" s="199">
        <v>55000.0</v>
      </c>
      <c r="E96" s="200">
        <f t="shared" si="1"/>
        <v>63250</v>
      </c>
    </row>
    <row r="97" ht="22.5" customHeight="1">
      <c r="A97" s="196" t="s">
        <v>626</v>
      </c>
      <c r="B97" s="204" t="s">
        <v>1311</v>
      </c>
      <c r="C97" s="207" t="s">
        <v>1183</v>
      </c>
      <c r="D97" s="199">
        <v>78000.0</v>
      </c>
      <c r="E97" s="200">
        <f t="shared" si="1"/>
        <v>89700</v>
      </c>
    </row>
    <row r="98" ht="22.5" customHeight="1">
      <c r="A98" s="201"/>
      <c r="B98" s="208"/>
      <c r="C98" s="209" t="s">
        <v>1184</v>
      </c>
      <c r="D98" s="199">
        <v>65000.0</v>
      </c>
      <c r="E98" s="200">
        <f t="shared" si="1"/>
        <v>74750</v>
      </c>
    </row>
    <row r="99" ht="22.5" customHeight="1">
      <c r="A99" s="201"/>
      <c r="B99" s="208"/>
      <c r="C99" s="209" t="s">
        <v>1186</v>
      </c>
      <c r="D99" s="199">
        <v>45000.0</v>
      </c>
      <c r="E99" s="200">
        <f t="shared" si="1"/>
        <v>51750</v>
      </c>
    </row>
    <row r="100" ht="22.5" customHeight="1">
      <c r="A100" s="211"/>
      <c r="B100" s="208"/>
      <c r="C100" s="212" t="s">
        <v>1260</v>
      </c>
      <c r="D100" s="199">
        <v>55000.0</v>
      </c>
      <c r="E100" s="200">
        <f t="shared" si="1"/>
        <v>63250</v>
      </c>
    </row>
    <row r="101" ht="22.5" customHeight="1">
      <c r="A101" s="196" t="s">
        <v>626</v>
      </c>
      <c r="B101" s="204" t="s">
        <v>1312</v>
      </c>
      <c r="C101" s="207" t="s">
        <v>1183</v>
      </c>
      <c r="D101" s="199">
        <v>75000.0</v>
      </c>
      <c r="E101" s="200">
        <f t="shared" si="1"/>
        <v>86250</v>
      </c>
    </row>
    <row r="102" ht="22.5" customHeight="1">
      <c r="A102" s="201"/>
      <c r="B102" s="208"/>
      <c r="C102" s="209" t="s">
        <v>1184</v>
      </c>
      <c r="D102" s="199">
        <v>60000.0</v>
      </c>
      <c r="E102" s="200">
        <f t="shared" si="1"/>
        <v>69000</v>
      </c>
    </row>
    <row r="103" ht="22.5" customHeight="1">
      <c r="A103" s="201"/>
      <c r="B103" s="208"/>
      <c r="C103" s="209" t="s">
        <v>1186</v>
      </c>
      <c r="D103" s="199">
        <v>45000.0</v>
      </c>
      <c r="E103" s="200">
        <f t="shared" si="1"/>
        <v>51750</v>
      </c>
    </row>
    <row r="104" ht="22.5" customHeight="1">
      <c r="A104" s="211"/>
      <c r="B104" s="208"/>
      <c r="C104" s="198" t="s">
        <v>1260</v>
      </c>
      <c r="D104" s="199">
        <v>50000.0</v>
      </c>
      <c r="E104" s="200">
        <f t="shared" si="1"/>
        <v>57500</v>
      </c>
    </row>
    <row r="105" ht="22.5" customHeight="1">
      <c r="A105" s="196" t="s">
        <v>626</v>
      </c>
      <c r="B105" s="204" t="s">
        <v>1313</v>
      </c>
      <c r="C105" s="198" t="s">
        <v>1183</v>
      </c>
      <c r="D105" s="199">
        <v>75000.0</v>
      </c>
      <c r="E105" s="200">
        <f t="shared" si="1"/>
        <v>86250</v>
      </c>
    </row>
    <row r="106" ht="22.5" customHeight="1">
      <c r="A106" s="211"/>
      <c r="B106" s="208"/>
      <c r="C106" s="198" t="s">
        <v>1184</v>
      </c>
      <c r="D106" s="199">
        <v>60000.0</v>
      </c>
      <c r="E106" s="200">
        <f t="shared" si="1"/>
        <v>69000</v>
      </c>
    </row>
    <row r="107" ht="22.5" customHeight="1">
      <c r="A107" s="211"/>
      <c r="B107" s="208"/>
      <c r="C107" s="198" t="s">
        <v>1186</v>
      </c>
      <c r="D107" s="199">
        <v>45000.0</v>
      </c>
      <c r="E107" s="200">
        <f t="shared" si="1"/>
        <v>51750</v>
      </c>
    </row>
    <row r="108" ht="22.5" customHeight="1">
      <c r="A108" s="211"/>
      <c r="B108" s="208"/>
      <c r="C108" s="198" t="s">
        <v>1260</v>
      </c>
      <c r="D108" s="199">
        <v>50000.0</v>
      </c>
      <c r="E108" s="200">
        <f t="shared" si="1"/>
        <v>57500</v>
      </c>
    </row>
    <row r="109" ht="22.5" customHeight="1">
      <c r="A109" s="196" t="s">
        <v>626</v>
      </c>
      <c r="B109" s="204" t="s">
        <v>1314</v>
      </c>
      <c r="C109" s="198" t="s">
        <v>1183</v>
      </c>
      <c r="D109" s="199">
        <v>82000.0</v>
      </c>
      <c r="E109" s="200">
        <f t="shared" si="1"/>
        <v>94300</v>
      </c>
    </row>
    <row r="110" ht="22.5" customHeight="1">
      <c r="A110" s="201"/>
      <c r="B110" s="203"/>
      <c r="C110" s="198" t="s">
        <v>1184</v>
      </c>
      <c r="D110" s="199">
        <v>65000.0</v>
      </c>
      <c r="E110" s="200">
        <f t="shared" si="1"/>
        <v>74750</v>
      </c>
    </row>
    <row r="111" ht="22.5" customHeight="1">
      <c r="A111" s="201"/>
      <c r="B111" s="203"/>
      <c r="C111" s="198" t="s">
        <v>1186</v>
      </c>
      <c r="D111" s="199">
        <v>45000.0</v>
      </c>
      <c r="E111" s="200">
        <f t="shared" si="1"/>
        <v>51750</v>
      </c>
    </row>
    <row r="112" ht="22.5" customHeight="1">
      <c r="A112" s="211"/>
      <c r="B112" s="208"/>
      <c r="C112" s="198" t="s">
        <v>1260</v>
      </c>
      <c r="D112" s="199">
        <v>55000.0</v>
      </c>
      <c r="E112" s="200">
        <f t="shared" si="1"/>
        <v>63250</v>
      </c>
    </row>
    <row r="113" ht="22.5" customHeight="1">
      <c r="A113" s="196" t="s">
        <v>626</v>
      </c>
      <c r="B113" s="204" t="s">
        <v>1315</v>
      </c>
      <c r="C113" s="198" t="s">
        <v>1183</v>
      </c>
      <c r="D113" s="199">
        <v>75000.0</v>
      </c>
      <c r="E113" s="200">
        <f t="shared" si="1"/>
        <v>86250</v>
      </c>
    </row>
    <row r="114" ht="22.5" customHeight="1">
      <c r="A114" s="211"/>
      <c r="B114" s="208"/>
      <c r="C114" s="198" t="s">
        <v>1184</v>
      </c>
      <c r="D114" s="199">
        <v>60000.0</v>
      </c>
      <c r="E114" s="200">
        <f t="shared" si="1"/>
        <v>69000</v>
      </c>
    </row>
    <row r="115" ht="22.5" customHeight="1">
      <c r="A115" s="211"/>
      <c r="B115" s="208"/>
      <c r="C115" s="198" t="s">
        <v>1186</v>
      </c>
      <c r="D115" s="199">
        <v>45000.0</v>
      </c>
      <c r="E115" s="200">
        <f t="shared" si="1"/>
        <v>51750</v>
      </c>
    </row>
    <row r="116" ht="22.5" customHeight="1">
      <c r="A116" s="211"/>
      <c r="B116" s="208"/>
      <c r="C116" s="198" t="s">
        <v>1260</v>
      </c>
      <c r="D116" s="199">
        <v>50000.0</v>
      </c>
      <c r="E116" s="200">
        <f t="shared" si="1"/>
        <v>57500</v>
      </c>
    </row>
    <row r="117" ht="22.5" customHeight="1">
      <c r="A117" s="196" t="s">
        <v>626</v>
      </c>
      <c r="B117" s="204" t="s">
        <v>1316</v>
      </c>
      <c r="C117" s="198" t="s">
        <v>1183</v>
      </c>
      <c r="D117" s="199">
        <v>106000.0</v>
      </c>
      <c r="E117" s="200">
        <f t="shared" si="1"/>
        <v>121900</v>
      </c>
    </row>
    <row r="118" ht="22.5" customHeight="1">
      <c r="A118" s="211"/>
      <c r="B118" s="208"/>
      <c r="C118" s="198" t="s">
        <v>1184</v>
      </c>
      <c r="D118" s="199">
        <v>65000.0</v>
      </c>
      <c r="E118" s="200">
        <f t="shared" si="1"/>
        <v>74750</v>
      </c>
    </row>
    <row r="119" ht="22.5" customHeight="1">
      <c r="A119" s="211"/>
      <c r="B119" s="208"/>
      <c r="C119" s="198" t="s">
        <v>1186</v>
      </c>
      <c r="D119" s="199">
        <v>45000.0</v>
      </c>
      <c r="E119" s="200">
        <f t="shared" si="1"/>
        <v>51750</v>
      </c>
    </row>
    <row r="120" ht="22.5" customHeight="1">
      <c r="A120" s="211"/>
      <c r="B120" s="208"/>
      <c r="C120" s="198" t="s">
        <v>1260</v>
      </c>
      <c r="D120" s="199">
        <v>50000.0</v>
      </c>
      <c r="E120" s="200">
        <f t="shared" si="1"/>
        <v>57500</v>
      </c>
    </row>
    <row r="121" ht="22.5" customHeight="1">
      <c r="A121" s="196" t="s">
        <v>626</v>
      </c>
      <c r="B121" s="204" t="s">
        <v>1317</v>
      </c>
      <c r="C121" s="198" t="s">
        <v>1183</v>
      </c>
      <c r="D121" s="199">
        <v>75000.0</v>
      </c>
      <c r="E121" s="200">
        <f t="shared" si="1"/>
        <v>86250</v>
      </c>
    </row>
    <row r="122" ht="22.5" customHeight="1">
      <c r="A122" s="211"/>
      <c r="B122" s="208"/>
      <c r="C122" s="198" t="s">
        <v>1184</v>
      </c>
      <c r="D122" s="199">
        <v>60000.0</v>
      </c>
      <c r="E122" s="200">
        <f t="shared" si="1"/>
        <v>69000</v>
      </c>
    </row>
    <row r="123" ht="22.5" customHeight="1">
      <c r="A123" s="211"/>
      <c r="B123" s="208"/>
      <c r="C123" s="198" t="s">
        <v>1186</v>
      </c>
      <c r="D123" s="199">
        <v>45000.0</v>
      </c>
      <c r="E123" s="200">
        <f t="shared" si="1"/>
        <v>51750</v>
      </c>
    </row>
    <row r="124" ht="22.5" customHeight="1">
      <c r="A124" s="211"/>
      <c r="B124" s="208"/>
      <c r="C124" s="198" t="s">
        <v>1260</v>
      </c>
      <c r="D124" s="199">
        <v>50000.0</v>
      </c>
      <c r="E124" s="200">
        <f t="shared" si="1"/>
        <v>57500</v>
      </c>
    </row>
    <row r="125" ht="22.5" customHeight="1">
      <c r="A125" s="196" t="s">
        <v>626</v>
      </c>
      <c r="B125" s="204" t="s">
        <v>1318</v>
      </c>
      <c r="C125" s="198" t="s">
        <v>1183</v>
      </c>
      <c r="D125" s="199">
        <v>78000.0</v>
      </c>
      <c r="E125" s="200">
        <f t="shared" si="1"/>
        <v>89700</v>
      </c>
    </row>
    <row r="126" ht="22.5" customHeight="1">
      <c r="A126" s="211"/>
      <c r="B126" s="208"/>
      <c r="C126" s="198" t="s">
        <v>1184</v>
      </c>
      <c r="D126" s="205"/>
      <c r="E126" s="200">
        <f t="shared" si="1"/>
        <v>0</v>
      </c>
    </row>
    <row r="127" ht="22.5" customHeight="1">
      <c r="A127" s="211"/>
      <c r="B127" s="208"/>
      <c r="C127" s="198" t="s">
        <v>1186</v>
      </c>
      <c r="D127" s="199">
        <v>45000.0</v>
      </c>
      <c r="E127" s="200">
        <f t="shared" si="1"/>
        <v>51750</v>
      </c>
    </row>
    <row r="128" ht="22.5" customHeight="1">
      <c r="A128" s="211"/>
      <c r="B128" s="208"/>
      <c r="C128" s="198" t="s">
        <v>1260</v>
      </c>
      <c r="D128" s="205"/>
      <c r="E128" s="200">
        <f t="shared" si="1"/>
        <v>0</v>
      </c>
    </row>
    <row r="129" ht="22.5" customHeight="1">
      <c r="A129" s="196" t="s">
        <v>626</v>
      </c>
      <c r="B129" s="204" t="s">
        <v>1319</v>
      </c>
      <c r="C129" s="198" t="s">
        <v>1183</v>
      </c>
      <c r="D129" s="199">
        <v>85000.0</v>
      </c>
      <c r="E129" s="200">
        <f t="shared" si="1"/>
        <v>97750</v>
      </c>
    </row>
    <row r="130" ht="22.5" customHeight="1">
      <c r="A130" s="211"/>
      <c r="B130" s="208"/>
      <c r="C130" s="198" t="s">
        <v>1184</v>
      </c>
      <c r="D130" s="199">
        <v>65000.0</v>
      </c>
      <c r="E130" s="200">
        <f t="shared" si="1"/>
        <v>74750</v>
      </c>
    </row>
    <row r="131" ht="22.5" customHeight="1">
      <c r="A131" s="211"/>
      <c r="B131" s="208"/>
      <c r="C131" s="198" t="s">
        <v>1186</v>
      </c>
      <c r="D131" s="199">
        <v>45000.0</v>
      </c>
      <c r="E131" s="200">
        <f t="shared" si="1"/>
        <v>51750</v>
      </c>
    </row>
    <row r="132" ht="22.5" customHeight="1">
      <c r="A132" s="211"/>
      <c r="B132" s="208"/>
      <c r="C132" s="198" t="s">
        <v>1260</v>
      </c>
      <c r="D132" s="205"/>
      <c r="E132" s="200">
        <f t="shared" si="1"/>
        <v>0</v>
      </c>
    </row>
    <row r="133" ht="22.5" customHeight="1">
      <c r="A133" s="196" t="s">
        <v>626</v>
      </c>
      <c r="B133" s="204" t="s">
        <v>1320</v>
      </c>
      <c r="C133" s="198" t="s">
        <v>1183</v>
      </c>
      <c r="D133" s="199">
        <v>106000.0</v>
      </c>
      <c r="E133" s="200">
        <f t="shared" si="1"/>
        <v>121900</v>
      </c>
    </row>
    <row r="134" ht="22.5" customHeight="1">
      <c r="A134" s="211"/>
      <c r="B134" s="208"/>
      <c r="C134" s="198" t="s">
        <v>1184</v>
      </c>
      <c r="D134" s="199">
        <v>65000.0</v>
      </c>
      <c r="E134" s="200">
        <f t="shared" si="1"/>
        <v>74750</v>
      </c>
    </row>
    <row r="135" ht="22.5" customHeight="1">
      <c r="A135" s="211"/>
      <c r="B135" s="208"/>
      <c r="C135" s="198" t="s">
        <v>1186</v>
      </c>
      <c r="D135" s="199">
        <v>45000.0</v>
      </c>
      <c r="E135" s="200">
        <f t="shared" si="1"/>
        <v>51750</v>
      </c>
    </row>
    <row r="136" ht="22.5" customHeight="1">
      <c r="A136" s="211"/>
      <c r="B136" s="208"/>
      <c r="C136" s="198" t="s">
        <v>1260</v>
      </c>
      <c r="D136" s="199">
        <v>50000.0</v>
      </c>
      <c r="E136" s="200">
        <f t="shared" si="1"/>
        <v>57500</v>
      </c>
    </row>
    <row r="137" ht="22.5" customHeight="1">
      <c r="A137" s="196" t="s">
        <v>626</v>
      </c>
      <c r="B137" s="204" t="s">
        <v>1321</v>
      </c>
      <c r="C137" s="198" t="s">
        <v>1205</v>
      </c>
      <c r="D137" s="217">
        <v>112000.0</v>
      </c>
      <c r="E137" s="218">
        <f t="shared" si="1"/>
        <v>128800</v>
      </c>
    </row>
    <row r="138" ht="22.5" customHeight="1">
      <c r="A138" s="201"/>
      <c r="B138" s="203"/>
      <c r="C138" s="198" t="s">
        <v>1184</v>
      </c>
      <c r="D138" s="217">
        <v>68000.0</v>
      </c>
      <c r="E138" s="218">
        <f t="shared" si="1"/>
        <v>78200</v>
      </c>
    </row>
    <row r="139" ht="22.5" customHeight="1">
      <c r="A139" s="201"/>
      <c r="B139" s="203"/>
      <c r="C139" s="198" t="s">
        <v>1186</v>
      </c>
      <c r="D139" s="217">
        <v>45000.0</v>
      </c>
      <c r="E139" s="218">
        <f t="shared" si="1"/>
        <v>51750</v>
      </c>
    </row>
    <row r="140" ht="22.5" customHeight="1">
      <c r="A140" s="211"/>
      <c r="B140" s="208"/>
      <c r="C140" s="198" t="s">
        <v>1260</v>
      </c>
      <c r="D140" s="217">
        <v>55000.0</v>
      </c>
      <c r="E140" s="218">
        <f t="shared" si="1"/>
        <v>63250</v>
      </c>
    </row>
    <row r="141" ht="22.5" customHeight="1">
      <c r="A141" s="196" t="s">
        <v>626</v>
      </c>
      <c r="B141" s="204" t="s">
        <v>1322</v>
      </c>
      <c r="C141" s="198" t="s">
        <v>1183</v>
      </c>
      <c r="D141" s="217">
        <v>68000.0</v>
      </c>
      <c r="E141" s="218">
        <f t="shared" si="1"/>
        <v>78200</v>
      </c>
    </row>
    <row r="142" ht="22.5" customHeight="1">
      <c r="A142" s="211"/>
      <c r="B142" s="208"/>
      <c r="C142" s="198" t="s">
        <v>1184</v>
      </c>
      <c r="D142" s="219"/>
      <c r="E142" s="218">
        <f t="shared" si="1"/>
        <v>0</v>
      </c>
    </row>
    <row r="143" ht="22.5" customHeight="1">
      <c r="A143" s="211"/>
      <c r="B143" s="208"/>
      <c r="C143" s="198" t="s">
        <v>1186</v>
      </c>
      <c r="D143" s="217">
        <v>45000.0</v>
      </c>
      <c r="E143" s="218">
        <f t="shared" si="1"/>
        <v>51750</v>
      </c>
    </row>
    <row r="144" ht="22.5" customHeight="1">
      <c r="A144" s="211"/>
      <c r="B144" s="208"/>
      <c r="C144" s="198" t="s">
        <v>1260</v>
      </c>
      <c r="D144" s="219"/>
      <c r="E144" s="218">
        <f t="shared" si="1"/>
        <v>0</v>
      </c>
    </row>
    <row r="145" ht="22.5" customHeight="1">
      <c r="A145" s="196" t="s">
        <v>626</v>
      </c>
      <c r="B145" s="204" t="s">
        <v>1323</v>
      </c>
      <c r="C145" s="198" t="s">
        <v>1183</v>
      </c>
      <c r="D145" s="217">
        <v>72000.0</v>
      </c>
      <c r="E145" s="218">
        <f t="shared" si="1"/>
        <v>82800</v>
      </c>
    </row>
    <row r="146" ht="22.5" customHeight="1">
      <c r="A146" s="211"/>
      <c r="B146" s="208"/>
      <c r="C146" s="198" t="s">
        <v>1184</v>
      </c>
      <c r="D146" s="217">
        <v>60000.0</v>
      </c>
      <c r="E146" s="218">
        <f t="shared" si="1"/>
        <v>69000</v>
      </c>
    </row>
    <row r="147" ht="22.5" customHeight="1">
      <c r="A147" s="211"/>
      <c r="B147" s="208"/>
      <c r="C147" s="198" t="s">
        <v>1186</v>
      </c>
      <c r="D147" s="217">
        <v>45000.0</v>
      </c>
      <c r="E147" s="218">
        <f t="shared" si="1"/>
        <v>51750</v>
      </c>
    </row>
    <row r="148" ht="22.5" customHeight="1">
      <c r="A148" s="211"/>
      <c r="B148" s="208"/>
      <c r="C148" s="198" t="s">
        <v>1260</v>
      </c>
      <c r="D148" s="217">
        <v>50000.0</v>
      </c>
      <c r="E148" s="218">
        <f t="shared" si="1"/>
        <v>57500</v>
      </c>
    </row>
    <row r="149" ht="22.5" customHeight="1">
      <c r="A149" s="196" t="s">
        <v>626</v>
      </c>
      <c r="B149" s="204" t="s">
        <v>1324</v>
      </c>
      <c r="C149" s="198" t="s">
        <v>1205</v>
      </c>
      <c r="D149" s="217">
        <v>140000.0</v>
      </c>
      <c r="E149" s="218">
        <f t="shared" si="1"/>
        <v>161000</v>
      </c>
    </row>
    <row r="150" ht="22.5" customHeight="1">
      <c r="A150" s="211"/>
      <c r="B150" s="208"/>
      <c r="C150" s="198" t="s">
        <v>1184</v>
      </c>
      <c r="D150" s="217">
        <v>65000.0</v>
      </c>
      <c r="E150" s="218">
        <f t="shared" si="1"/>
        <v>74750</v>
      </c>
    </row>
    <row r="151" ht="22.5" customHeight="1">
      <c r="A151" s="211"/>
      <c r="B151" s="208"/>
      <c r="C151" s="198" t="s">
        <v>1186</v>
      </c>
      <c r="D151" s="217">
        <v>45000.0</v>
      </c>
      <c r="E151" s="218">
        <f t="shared" si="1"/>
        <v>51750</v>
      </c>
    </row>
    <row r="152" ht="22.5" customHeight="1">
      <c r="A152" s="211"/>
      <c r="B152" s="208"/>
      <c r="C152" s="198" t="s">
        <v>1260</v>
      </c>
      <c r="D152" s="217">
        <v>50000.0</v>
      </c>
      <c r="E152" s="218">
        <f t="shared" si="1"/>
        <v>57500</v>
      </c>
    </row>
    <row r="153" ht="22.5" customHeight="1">
      <c r="A153" s="220" t="s">
        <v>626</v>
      </c>
      <c r="B153" s="221" t="s">
        <v>1325</v>
      </c>
      <c r="C153" s="222" t="s">
        <v>1183</v>
      </c>
      <c r="D153" s="223">
        <v>75000.0</v>
      </c>
      <c r="E153" s="224">
        <f t="shared" si="1"/>
        <v>86250</v>
      </c>
    </row>
    <row r="154" ht="22.5" customHeight="1">
      <c r="A154" s="225"/>
      <c r="B154" s="226"/>
      <c r="C154" s="222" t="s">
        <v>1184</v>
      </c>
      <c r="D154" s="223">
        <v>65000.0</v>
      </c>
      <c r="E154" s="224">
        <f t="shared" si="1"/>
        <v>74750</v>
      </c>
    </row>
    <row r="155" ht="22.5" customHeight="1">
      <c r="A155" s="225"/>
      <c r="B155" s="226"/>
      <c r="C155" s="222" t="s">
        <v>1186</v>
      </c>
      <c r="D155" s="223">
        <v>45000.0</v>
      </c>
      <c r="E155" s="224">
        <f t="shared" si="1"/>
        <v>51750</v>
      </c>
    </row>
    <row r="156" ht="22.5" customHeight="1">
      <c r="A156" s="225"/>
      <c r="B156" s="226"/>
      <c r="C156" s="222" t="s">
        <v>1260</v>
      </c>
      <c r="D156" s="227"/>
      <c r="E156" s="224">
        <f t="shared" si="1"/>
        <v>0</v>
      </c>
    </row>
    <row r="157" ht="22.5" customHeight="1">
      <c r="A157" s="228" t="s">
        <v>626</v>
      </c>
      <c r="B157" s="221" t="s">
        <v>1326</v>
      </c>
      <c r="C157" s="229" t="s">
        <v>1183</v>
      </c>
      <c r="D157" s="223">
        <v>75000.0</v>
      </c>
      <c r="E157" s="224">
        <f t="shared" si="1"/>
        <v>86250</v>
      </c>
    </row>
    <row r="158" ht="22.5" customHeight="1">
      <c r="A158" s="230"/>
      <c r="B158" s="231"/>
      <c r="C158" s="232" t="s">
        <v>1184</v>
      </c>
      <c r="D158" s="233">
        <v>60000.0</v>
      </c>
      <c r="E158" s="234">
        <f t="shared" si="1"/>
        <v>69000</v>
      </c>
    </row>
    <row r="159" ht="22.5" customHeight="1">
      <c r="A159" s="235"/>
      <c r="B159" s="236"/>
      <c r="C159" s="237" t="s">
        <v>1186</v>
      </c>
      <c r="D159" s="223">
        <v>45000.0</v>
      </c>
      <c r="E159" s="224">
        <f t="shared" si="1"/>
        <v>51750</v>
      </c>
    </row>
    <row r="160" ht="22.5" customHeight="1">
      <c r="A160" s="230"/>
      <c r="B160" s="231"/>
      <c r="C160" s="238" t="s">
        <v>1260</v>
      </c>
      <c r="D160" s="233">
        <v>50000.0</v>
      </c>
      <c r="E160" s="234">
        <f t="shared" si="1"/>
        <v>57500</v>
      </c>
    </row>
    <row r="161" ht="22.5" customHeight="1">
      <c r="A161" s="228" t="s">
        <v>626</v>
      </c>
      <c r="B161" s="221" t="s">
        <v>1327</v>
      </c>
      <c r="C161" s="229" t="s">
        <v>1183</v>
      </c>
      <c r="D161" s="223">
        <v>106000.0</v>
      </c>
      <c r="E161" s="224">
        <f t="shared" si="1"/>
        <v>121900</v>
      </c>
    </row>
    <row r="162" ht="22.5" customHeight="1">
      <c r="A162" s="235"/>
      <c r="B162" s="236"/>
      <c r="C162" s="239" t="s">
        <v>1184</v>
      </c>
      <c r="D162" s="223">
        <v>60000.0</v>
      </c>
      <c r="E162" s="224">
        <f t="shared" si="1"/>
        <v>69000</v>
      </c>
    </row>
    <row r="163" ht="22.5" customHeight="1">
      <c r="A163" s="230"/>
      <c r="B163" s="231"/>
      <c r="C163" s="240" t="s">
        <v>1186</v>
      </c>
      <c r="D163" s="233">
        <v>45000.0</v>
      </c>
      <c r="E163" s="234">
        <f t="shared" si="1"/>
        <v>51750</v>
      </c>
    </row>
    <row r="164" ht="22.5" customHeight="1">
      <c r="A164" s="235"/>
      <c r="B164" s="236"/>
      <c r="C164" s="241" t="s">
        <v>1260</v>
      </c>
      <c r="D164" s="223">
        <v>50000.0</v>
      </c>
      <c r="E164" s="224">
        <f t="shared" si="1"/>
        <v>57500</v>
      </c>
    </row>
    <row r="165" ht="22.5" customHeight="1">
      <c r="A165" s="242" t="s">
        <v>626</v>
      </c>
      <c r="B165" s="243" t="s">
        <v>1328</v>
      </c>
      <c r="C165" s="244" t="s">
        <v>1183</v>
      </c>
      <c r="D165" s="233">
        <v>160000.0</v>
      </c>
      <c r="E165" s="234">
        <f t="shared" si="1"/>
        <v>184000</v>
      </c>
    </row>
    <row r="166" ht="22.5" customHeight="1">
      <c r="A166" s="235"/>
      <c r="B166" s="236"/>
      <c r="C166" s="239" t="s">
        <v>1184</v>
      </c>
      <c r="D166" s="223">
        <v>65000.0</v>
      </c>
      <c r="E166" s="224">
        <f t="shared" si="1"/>
        <v>74750</v>
      </c>
    </row>
    <row r="167" ht="22.5" customHeight="1">
      <c r="A167" s="235"/>
      <c r="B167" s="236"/>
      <c r="C167" s="237" t="s">
        <v>1186</v>
      </c>
      <c r="D167" s="223">
        <v>45000.0</v>
      </c>
      <c r="E167" s="224">
        <f t="shared" si="1"/>
        <v>51750</v>
      </c>
    </row>
    <row r="168" ht="22.5" customHeight="1">
      <c r="A168" s="230"/>
      <c r="B168" s="231"/>
      <c r="C168" s="238" t="s">
        <v>1260</v>
      </c>
      <c r="D168" s="227"/>
      <c r="E168" s="234">
        <f t="shared" si="1"/>
        <v>0</v>
      </c>
    </row>
    <row r="169" ht="22.5" customHeight="1">
      <c r="A169" s="228" t="s">
        <v>626</v>
      </c>
      <c r="B169" s="221" t="s">
        <v>1329</v>
      </c>
      <c r="C169" s="229" t="s">
        <v>1183</v>
      </c>
      <c r="D169" s="223">
        <v>85000.0</v>
      </c>
      <c r="E169" s="224">
        <f t="shared" si="1"/>
        <v>97750</v>
      </c>
    </row>
    <row r="170" ht="22.5" customHeight="1">
      <c r="A170" s="230"/>
      <c r="B170" s="231"/>
      <c r="C170" s="232" t="s">
        <v>1184</v>
      </c>
      <c r="D170" s="227"/>
      <c r="E170" s="234">
        <f t="shared" si="1"/>
        <v>0</v>
      </c>
    </row>
    <row r="171" ht="22.5" customHeight="1">
      <c r="A171" s="235"/>
      <c r="B171" s="236"/>
      <c r="C171" s="237" t="s">
        <v>1186</v>
      </c>
      <c r="D171" s="223">
        <v>50000.0</v>
      </c>
      <c r="E171" s="224">
        <f t="shared" si="1"/>
        <v>57500</v>
      </c>
    </row>
    <row r="172" ht="22.5" customHeight="1">
      <c r="A172" s="230"/>
      <c r="B172" s="231"/>
      <c r="C172" s="238" t="s">
        <v>1260</v>
      </c>
      <c r="D172" s="227"/>
      <c r="E172" s="234">
        <f t="shared" si="1"/>
        <v>0</v>
      </c>
    </row>
    <row r="173" ht="22.5" customHeight="1">
      <c r="A173" s="228" t="s">
        <v>626</v>
      </c>
      <c r="B173" s="221" t="s">
        <v>1330</v>
      </c>
      <c r="C173" s="229" t="s">
        <v>1183</v>
      </c>
      <c r="D173" s="223">
        <v>160000.0</v>
      </c>
      <c r="E173" s="224">
        <f t="shared" si="1"/>
        <v>184000</v>
      </c>
    </row>
    <row r="174" ht="22.5" customHeight="1">
      <c r="A174" s="235"/>
      <c r="B174" s="236"/>
      <c r="C174" s="239" t="s">
        <v>1184</v>
      </c>
      <c r="D174" s="227"/>
      <c r="E174" s="224">
        <f t="shared" si="1"/>
        <v>0</v>
      </c>
    </row>
    <row r="175" ht="22.5" customHeight="1">
      <c r="A175" s="230"/>
      <c r="B175" s="231"/>
      <c r="C175" s="240" t="s">
        <v>1186</v>
      </c>
      <c r="D175" s="233">
        <v>50000.0</v>
      </c>
      <c r="E175" s="234">
        <f t="shared" si="1"/>
        <v>57500</v>
      </c>
    </row>
    <row r="176" ht="22.5" customHeight="1">
      <c r="A176" s="235"/>
      <c r="B176" s="236"/>
      <c r="C176" s="241" t="s">
        <v>1260</v>
      </c>
      <c r="D176" s="227"/>
      <c r="E176" s="224">
        <f t="shared" si="1"/>
        <v>0</v>
      </c>
    </row>
    <row r="177" ht="22.5" customHeight="1">
      <c r="A177" s="242" t="s">
        <v>626</v>
      </c>
      <c r="B177" s="243" t="s">
        <v>1331</v>
      </c>
      <c r="C177" s="244" t="s">
        <v>1183</v>
      </c>
      <c r="D177" s="233">
        <v>160000.0</v>
      </c>
      <c r="E177" s="234">
        <f t="shared" si="1"/>
        <v>184000</v>
      </c>
    </row>
    <row r="178" ht="22.5" customHeight="1">
      <c r="A178" s="235"/>
      <c r="B178" s="236"/>
      <c r="C178" s="239" t="s">
        <v>1184</v>
      </c>
      <c r="D178" s="223">
        <v>70000.0</v>
      </c>
      <c r="E178" s="224">
        <f t="shared" si="1"/>
        <v>80500</v>
      </c>
    </row>
    <row r="179" ht="22.5" customHeight="1">
      <c r="A179" s="235"/>
      <c r="B179" s="236"/>
      <c r="C179" s="237" t="s">
        <v>1186</v>
      </c>
      <c r="D179" s="223">
        <v>50000.0</v>
      </c>
      <c r="E179" s="224">
        <f t="shared" si="1"/>
        <v>57500</v>
      </c>
    </row>
    <row r="180" ht="22.5" customHeight="1">
      <c r="A180" s="230"/>
      <c r="B180" s="231"/>
      <c r="C180" s="238" t="s">
        <v>1260</v>
      </c>
      <c r="D180" s="227"/>
      <c r="E180" s="234">
        <f t="shared" si="1"/>
        <v>0</v>
      </c>
    </row>
    <row r="181" ht="22.5" customHeight="1">
      <c r="A181" s="242" t="s">
        <v>626</v>
      </c>
      <c r="B181" s="243" t="s">
        <v>1332</v>
      </c>
      <c r="C181" s="244" t="s">
        <v>1183</v>
      </c>
      <c r="D181" s="233">
        <v>170000.0</v>
      </c>
      <c r="E181" s="234">
        <f t="shared" si="1"/>
        <v>195500</v>
      </c>
    </row>
    <row r="182" ht="22.5" customHeight="1">
      <c r="A182" s="235"/>
      <c r="B182" s="236"/>
      <c r="C182" s="239" t="s">
        <v>1184</v>
      </c>
      <c r="D182" s="227"/>
      <c r="E182" s="224">
        <f t="shared" si="1"/>
        <v>0</v>
      </c>
    </row>
    <row r="183" ht="22.5" customHeight="1">
      <c r="A183" s="235"/>
      <c r="B183" s="236"/>
      <c r="C183" s="237" t="s">
        <v>1186</v>
      </c>
      <c r="D183" s="223">
        <v>60000.0</v>
      </c>
      <c r="E183" s="224">
        <f t="shared" si="1"/>
        <v>69000</v>
      </c>
    </row>
    <row r="184" ht="22.5" customHeight="1">
      <c r="A184" s="230"/>
      <c r="B184" s="231"/>
      <c r="C184" s="238" t="s">
        <v>1260</v>
      </c>
      <c r="D184" s="245">
        <v>50000.0</v>
      </c>
      <c r="E184" s="224">
        <f t="shared" si="1"/>
        <v>57500</v>
      </c>
    </row>
    <row r="185">
      <c r="A185" s="246" t="s">
        <v>626</v>
      </c>
      <c r="B185" s="247" t="s">
        <v>1333</v>
      </c>
      <c r="C185" s="248" t="s">
        <v>1183</v>
      </c>
      <c r="D185" s="249">
        <v>264000.0</v>
      </c>
      <c r="E185" s="250">
        <f t="shared" si="1"/>
        <v>303600</v>
      </c>
    </row>
    <row r="186">
      <c r="A186" s="251"/>
      <c r="B186" s="252"/>
      <c r="C186" s="253" t="s">
        <v>1184</v>
      </c>
      <c r="D186" s="254">
        <v>75000.0</v>
      </c>
      <c r="E186" s="250">
        <f t="shared" si="1"/>
        <v>86250</v>
      </c>
      <c r="F186" s="255"/>
      <c r="G186" s="255"/>
      <c r="H186" s="255"/>
    </row>
    <row r="187">
      <c r="A187" s="256"/>
      <c r="B187" s="257"/>
      <c r="C187" s="258" t="s">
        <v>1186</v>
      </c>
      <c r="D187" s="249">
        <v>60000.0</v>
      </c>
      <c r="E187" s="250">
        <f t="shared" si="1"/>
        <v>69000</v>
      </c>
      <c r="F187" s="255"/>
      <c r="G187" s="255"/>
      <c r="H187" s="255"/>
    </row>
    <row r="188">
      <c r="A188" s="251"/>
      <c r="B188" s="252"/>
      <c r="C188" s="259" t="s">
        <v>1260</v>
      </c>
      <c r="D188" s="260"/>
      <c r="E188" s="250">
        <f t="shared" si="1"/>
        <v>0</v>
      </c>
      <c r="F188" s="255"/>
      <c r="G188" s="255"/>
      <c r="H188" s="255"/>
    </row>
    <row r="189">
      <c r="A189" s="246" t="s">
        <v>626</v>
      </c>
      <c r="B189" s="247" t="s">
        <v>1334</v>
      </c>
      <c r="C189" s="248" t="s">
        <v>1183</v>
      </c>
      <c r="D189" s="249">
        <v>75000.0</v>
      </c>
      <c r="E189" s="250">
        <f t="shared" si="1"/>
        <v>86250</v>
      </c>
      <c r="F189" s="255"/>
      <c r="G189" s="255"/>
      <c r="H189" s="255"/>
    </row>
    <row r="190">
      <c r="A190" s="251"/>
      <c r="B190" s="252"/>
      <c r="C190" s="253" t="s">
        <v>1184</v>
      </c>
      <c r="D190" s="254">
        <v>60000.0</v>
      </c>
      <c r="E190" s="250">
        <f t="shared" si="1"/>
        <v>69000</v>
      </c>
      <c r="F190" s="255"/>
      <c r="G190" s="255"/>
      <c r="H190" s="255"/>
    </row>
    <row r="191">
      <c r="A191" s="256"/>
      <c r="B191" s="257"/>
      <c r="C191" s="258" t="s">
        <v>1186</v>
      </c>
      <c r="D191" s="249">
        <v>45000.0</v>
      </c>
      <c r="E191" s="250">
        <f t="shared" si="1"/>
        <v>51750</v>
      </c>
      <c r="F191" s="255"/>
      <c r="G191" s="255"/>
      <c r="H191" s="255"/>
    </row>
    <row r="192">
      <c r="A192" s="251"/>
      <c r="B192" s="252"/>
      <c r="C192" s="259" t="s">
        <v>1260</v>
      </c>
      <c r="D192" s="260"/>
      <c r="E192" s="250">
        <f t="shared" si="1"/>
        <v>0</v>
      </c>
      <c r="F192" s="255"/>
      <c r="G192" s="255"/>
      <c r="H192" s="255"/>
    </row>
    <row r="193">
      <c r="A193" s="246" t="s">
        <v>626</v>
      </c>
      <c r="B193" s="247" t="s">
        <v>1335</v>
      </c>
      <c r="C193" s="248" t="s">
        <v>1183</v>
      </c>
      <c r="D193" s="249">
        <v>80500.0</v>
      </c>
      <c r="E193" s="250">
        <f t="shared" si="1"/>
        <v>92575</v>
      </c>
      <c r="F193" s="255"/>
      <c r="G193" s="255"/>
      <c r="H193" s="255"/>
    </row>
    <row r="194">
      <c r="A194" s="251"/>
      <c r="B194" s="252"/>
      <c r="C194" s="253" t="s">
        <v>1184</v>
      </c>
      <c r="D194" s="254">
        <v>60000.0</v>
      </c>
      <c r="E194" s="250">
        <f t="shared" si="1"/>
        <v>69000</v>
      </c>
      <c r="F194" s="255"/>
      <c r="G194" s="255"/>
      <c r="H194" s="255"/>
    </row>
    <row r="195">
      <c r="A195" s="256"/>
      <c r="B195" s="257"/>
      <c r="C195" s="258" t="s">
        <v>1186</v>
      </c>
      <c r="D195" s="249">
        <v>45000.0</v>
      </c>
      <c r="E195" s="250">
        <f t="shared" si="1"/>
        <v>51750</v>
      </c>
    </row>
    <row r="196">
      <c r="A196" s="251"/>
      <c r="B196" s="252"/>
      <c r="C196" s="259" t="s">
        <v>1260</v>
      </c>
      <c r="D196" s="260"/>
      <c r="E196" s="250">
        <f t="shared" si="1"/>
        <v>0</v>
      </c>
    </row>
    <row r="197">
      <c r="A197" s="261" t="s">
        <v>626</v>
      </c>
      <c r="B197" s="262" t="s">
        <v>1336</v>
      </c>
      <c r="C197" s="263" t="s">
        <v>1183</v>
      </c>
      <c r="D197" s="263">
        <v>300000.0</v>
      </c>
      <c r="E197" s="250">
        <f t="shared" si="1"/>
        <v>345000</v>
      </c>
    </row>
    <row r="198">
      <c r="A198" s="264"/>
      <c r="B198" s="265"/>
      <c r="C198" s="263" t="s">
        <v>1184</v>
      </c>
      <c r="D198" s="263">
        <v>65000.0</v>
      </c>
      <c r="E198" s="250">
        <f t="shared" si="1"/>
        <v>74750</v>
      </c>
    </row>
    <row r="199">
      <c r="A199" s="264"/>
      <c r="B199" s="266"/>
      <c r="C199" s="263" t="s">
        <v>1186</v>
      </c>
      <c r="D199" s="263">
        <v>65000.0</v>
      </c>
      <c r="E199" s="250">
        <f t="shared" si="1"/>
        <v>74750</v>
      </c>
    </row>
    <row r="200">
      <c r="A200" s="267"/>
      <c r="B200" s="268"/>
      <c r="C200" s="263" t="s">
        <v>1260</v>
      </c>
      <c r="D200" s="263"/>
      <c r="E200" s="250">
        <f t="shared" si="1"/>
        <v>0</v>
      </c>
      <c r="F200" s="255"/>
      <c r="G200" s="255"/>
      <c r="H200" s="255"/>
    </row>
    <row r="201">
      <c r="A201" s="268"/>
      <c r="B201" s="268"/>
      <c r="C201" s="263"/>
      <c r="D201" s="263"/>
      <c r="E201" s="250"/>
      <c r="F201" s="255"/>
      <c r="G201" s="255"/>
      <c r="H201" s="255"/>
    </row>
    <row r="202">
      <c r="A202" s="261" t="s">
        <v>626</v>
      </c>
      <c r="B202" s="261" t="s">
        <v>1337</v>
      </c>
      <c r="C202" s="263" t="s">
        <v>1183</v>
      </c>
      <c r="D202" s="263">
        <v>185000.0</v>
      </c>
      <c r="E202" s="250">
        <f>(D202*1.15)</f>
        <v>212750</v>
      </c>
      <c r="F202" s="255"/>
      <c r="G202" s="255"/>
      <c r="H202" s="255"/>
    </row>
    <row r="203">
      <c r="A203" s="264"/>
      <c r="B203" s="268" t="s">
        <v>1338</v>
      </c>
      <c r="C203" s="263" t="s">
        <v>1205</v>
      </c>
      <c r="D203" s="269">
        <v>120000.0</v>
      </c>
      <c r="E203" s="250"/>
      <c r="F203" s="255"/>
      <c r="G203" s="255"/>
      <c r="H203" s="255"/>
    </row>
    <row r="204">
      <c r="A204" s="264"/>
      <c r="C204" s="263" t="s">
        <v>1184</v>
      </c>
      <c r="D204" s="269"/>
      <c r="E204" s="250">
        <f t="shared" ref="E204:E301" si="2">(D204*1.15)</f>
        <v>0</v>
      </c>
      <c r="F204" s="255"/>
      <c r="G204" s="255"/>
      <c r="H204" s="255"/>
    </row>
    <row r="205">
      <c r="A205" s="264"/>
      <c r="B205" s="266"/>
      <c r="C205" s="263" t="s">
        <v>1186</v>
      </c>
      <c r="D205" s="263">
        <v>65000.0</v>
      </c>
      <c r="E205" s="250">
        <f t="shared" si="2"/>
        <v>74750</v>
      </c>
      <c r="F205" s="255"/>
      <c r="G205" s="255"/>
      <c r="H205" s="255"/>
    </row>
    <row r="206">
      <c r="A206" s="267"/>
      <c r="B206" s="268"/>
      <c r="C206" s="263" t="s">
        <v>1260</v>
      </c>
      <c r="D206" s="263"/>
      <c r="E206" s="250">
        <f t="shared" si="2"/>
        <v>0</v>
      </c>
      <c r="F206" s="255"/>
      <c r="G206" s="255"/>
      <c r="H206" s="255"/>
    </row>
    <row r="207">
      <c r="A207" s="261" t="s">
        <v>626</v>
      </c>
      <c r="B207" s="262" t="s">
        <v>1339</v>
      </c>
      <c r="C207" s="263" t="s">
        <v>1183</v>
      </c>
      <c r="D207" s="263">
        <v>172000.0</v>
      </c>
      <c r="E207" s="250">
        <f t="shared" si="2"/>
        <v>197800</v>
      </c>
      <c r="F207" s="255"/>
      <c r="G207" s="255"/>
      <c r="H207" s="255"/>
    </row>
    <row r="208">
      <c r="A208" s="264"/>
      <c r="B208" s="270" t="s">
        <v>1340</v>
      </c>
      <c r="C208" s="263" t="s">
        <v>1184</v>
      </c>
      <c r="D208" s="263">
        <v>65000.0</v>
      </c>
      <c r="E208" s="250">
        <f t="shared" si="2"/>
        <v>74750</v>
      </c>
      <c r="F208" s="255"/>
      <c r="G208" s="255"/>
      <c r="H208" s="255"/>
    </row>
    <row r="209">
      <c r="A209" s="264"/>
      <c r="B209" s="266"/>
      <c r="C209" s="263" t="s">
        <v>1186</v>
      </c>
      <c r="D209" s="263">
        <v>65000.0</v>
      </c>
      <c r="E209" s="250">
        <f t="shared" si="2"/>
        <v>74750</v>
      </c>
      <c r="F209" s="255"/>
      <c r="G209" s="255"/>
      <c r="H209" s="255"/>
    </row>
    <row r="210">
      <c r="A210" s="267"/>
      <c r="B210" s="268"/>
      <c r="C210" s="263" t="s">
        <v>1260</v>
      </c>
      <c r="D210" s="263">
        <v>50000.0</v>
      </c>
      <c r="E210" s="250">
        <f t="shared" si="2"/>
        <v>57500</v>
      </c>
      <c r="F210" s="255"/>
      <c r="G210" s="255"/>
      <c r="H210" s="255"/>
    </row>
    <row r="211">
      <c r="A211" s="261" t="s">
        <v>626</v>
      </c>
      <c r="B211" s="261" t="s">
        <v>1341</v>
      </c>
      <c r="C211" s="263" t="s">
        <v>1183</v>
      </c>
      <c r="D211" s="263">
        <v>219000.0</v>
      </c>
      <c r="E211" s="250">
        <f t="shared" si="2"/>
        <v>251850</v>
      </c>
    </row>
    <row r="212">
      <c r="A212" s="264"/>
      <c r="B212" s="266"/>
      <c r="C212" s="263" t="s">
        <v>1184</v>
      </c>
      <c r="D212" s="263">
        <v>70000.0</v>
      </c>
      <c r="E212" s="250">
        <f t="shared" si="2"/>
        <v>80500</v>
      </c>
    </row>
    <row r="213">
      <c r="A213" s="264"/>
      <c r="B213" s="266"/>
      <c r="C213" s="263" t="s">
        <v>1186</v>
      </c>
      <c r="D213" s="263">
        <v>65000.0</v>
      </c>
      <c r="E213" s="250">
        <f t="shared" si="2"/>
        <v>74750</v>
      </c>
    </row>
    <row r="214">
      <c r="A214" s="267"/>
      <c r="B214" s="268"/>
      <c r="C214" s="263" t="s">
        <v>1260</v>
      </c>
      <c r="D214" s="263">
        <v>50000.0</v>
      </c>
      <c r="E214" s="250">
        <f t="shared" si="2"/>
        <v>57500</v>
      </c>
    </row>
    <row r="215">
      <c r="A215" s="261" t="s">
        <v>626</v>
      </c>
      <c r="B215" s="262" t="s">
        <v>1342</v>
      </c>
      <c r="C215" s="263" t="s">
        <v>1183</v>
      </c>
      <c r="D215" s="263">
        <v>320000.0</v>
      </c>
      <c r="E215" s="250">
        <f t="shared" si="2"/>
        <v>368000</v>
      </c>
    </row>
    <row r="216">
      <c r="A216" s="264"/>
      <c r="B216" s="265"/>
      <c r="C216" s="263" t="s">
        <v>1184</v>
      </c>
      <c r="D216" s="263">
        <v>70000.0</v>
      </c>
      <c r="E216" s="250">
        <f t="shared" si="2"/>
        <v>80500</v>
      </c>
    </row>
    <row r="217">
      <c r="A217" s="264"/>
      <c r="B217" s="266"/>
      <c r="C217" s="263" t="s">
        <v>1186</v>
      </c>
      <c r="D217" s="263">
        <v>65000.0</v>
      </c>
      <c r="E217" s="250">
        <f t="shared" si="2"/>
        <v>74750</v>
      </c>
    </row>
    <row r="218">
      <c r="A218" s="267"/>
      <c r="B218" s="268"/>
      <c r="C218" s="263" t="s">
        <v>1260</v>
      </c>
      <c r="D218" s="263"/>
      <c r="E218" s="250">
        <f t="shared" si="2"/>
        <v>0</v>
      </c>
    </row>
    <row r="219">
      <c r="A219" s="261" t="s">
        <v>626</v>
      </c>
      <c r="B219" s="261" t="s">
        <v>1343</v>
      </c>
      <c r="C219" s="263" t="s">
        <v>1183</v>
      </c>
      <c r="D219" s="263">
        <v>322000.0</v>
      </c>
      <c r="E219" s="250">
        <f t="shared" si="2"/>
        <v>370300</v>
      </c>
    </row>
    <row r="220">
      <c r="A220" s="264"/>
      <c r="B220" s="268" t="s">
        <v>1344</v>
      </c>
      <c r="C220" s="263" t="s">
        <v>1184</v>
      </c>
      <c r="D220" s="269"/>
      <c r="E220" s="250">
        <f t="shared" si="2"/>
        <v>0</v>
      </c>
    </row>
    <row r="221">
      <c r="A221" s="264"/>
      <c r="B221" s="266"/>
      <c r="C221" s="263" t="s">
        <v>1186</v>
      </c>
      <c r="D221" s="263">
        <v>65000.0</v>
      </c>
      <c r="E221" s="250">
        <f t="shared" si="2"/>
        <v>74750</v>
      </c>
    </row>
    <row r="222">
      <c r="A222" s="267"/>
      <c r="B222" s="268"/>
      <c r="C222" s="263" t="s">
        <v>1260</v>
      </c>
      <c r="D222" s="263"/>
      <c r="E222" s="250">
        <f t="shared" si="2"/>
        <v>0</v>
      </c>
    </row>
    <row r="223">
      <c r="A223" s="261" t="s">
        <v>626</v>
      </c>
      <c r="B223" s="261" t="s">
        <v>1345</v>
      </c>
      <c r="C223" s="263" t="s">
        <v>1183</v>
      </c>
      <c r="D223" s="269">
        <v>230000.0</v>
      </c>
      <c r="E223" s="250">
        <f t="shared" si="2"/>
        <v>264500</v>
      </c>
    </row>
    <row r="224">
      <c r="A224" s="264"/>
      <c r="B224" s="266"/>
      <c r="C224" s="263" t="s">
        <v>1184</v>
      </c>
      <c r="D224" s="269"/>
      <c r="E224" s="250">
        <f t="shared" si="2"/>
        <v>0</v>
      </c>
    </row>
    <row r="225">
      <c r="A225" s="264"/>
      <c r="B225" s="266"/>
      <c r="C225" s="263" t="s">
        <v>1186</v>
      </c>
      <c r="D225" s="263">
        <v>65000.0</v>
      </c>
      <c r="E225" s="250">
        <f t="shared" si="2"/>
        <v>74750</v>
      </c>
    </row>
    <row r="226">
      <c r="A226" s="267"/>
      <c r="B226" s="268"/>
      <c r="C226" s="263" t="s">
        <v>1260</v>
      </c>
      <c r="D226" s="263"/>
      <c r="E226" s="250">
        <f t="shared" si="2"/>
        <v>0</v>
      </c>
    </row>
    <row r="227">
      <c r="A227" s="261" t="s">
        <v>626</v>
      </c>
      <c r="B227" s="261" t="s">
        <v>1346</v>
      </c>
      <c r="C227" s="263" t="s">
        <v>1183</v>
      </c>
      <c r="D227" s="263">
        <v>160000.0</v>
      </c>
      <c r="E227" s="250">
        <f t="shared" si="2"/>
        <v>184000</v>
      </c>
    </row>
    <row r="228">
      <c r="A228" s="264"/>
      <c r="B228" s="266"/>
      <c r="C228" s="263" t="s">
        <v>1184</v>
      </c>
      <c r="D228" s="263">
        <v>70000.0</v>
      </c>
      <c r="E228" s="250">
        <f t="shared" si="2"/>
        <v>80500</v>
      </c>
    </row>
    <row r="229">
      <c r="A229" s="264"/>
      <c r="B229" s="266"/>
      <c r="C229" s="263" t="s">
        <v>1186</v>
      </c>
      <c r="D229" s="263">
        <v>65000.0</v>
      </c>
      <c r="E229" s="250">
        <f t="shared" si="2"/>
        <v>74750</v>
      </c>
    </row>
    <row r="230">
      <c r="A230" s="267"/>
      <c r="B230" s="268"/>
      <c r="C230" s="263" t="s">
        <v>1260</v>
      </c>
      <c r="D230" s="263"/>
      <c r="E230" s="250">
        <f t="shared" si="2"/>
        <v>0</v>
      </c>
    </row>
    <row r="231">
      <c r="A231" s="261" t="s">
        <v>626</v>
      </c>
      <c r="B231" s="261" t="s">
        <v>1347</v>
      </c>
      <c r="C231" s="263" t="s">
        <v>1183</v>
      </c>
      <c r="D231" s="269">
        <v>226000.0</v>
      </c>
      <c r="E231" s="250">
        <f t="shared" si="2"/>
        <v>259900</v>
      </c>
    </row>
    <row r="232">
      <c r="A232" s="264"/>
      <c r="B232" s="266"/>
      <c r="C232" s="263" t="s">
        <v>1184</v>
      </c>
      <c r="D232" s="263">
        <v>80000.0</v>
      </c>
      <c r="E232" s="250">
        <f t="shared" si="2"/>
        <v>92000</v>
      </c>
    </row>
    <row r="233">
      <c r="A233" s="264"/>
      <c r="B233" s="266"/>
      <c r="C233" s="263" t="s">
        <v>1186</v>
      </c>
      <c r="D233" s="263">
        <v>65000.0</v>
      </c>
      <c r="E233" s="250">
        <f t="shared" si="2"/>
        <v>74750</v>
      </c>
    </row>
    <row r="234">
      <c r="A234" s="267"/>
      <c r="B234" s="268"/>
      <c r="C234" s="263" t="s">
        <v>1260</v>
      </c>
      <c r="D234" s="263">
        <v>50000.0</v>
      </c>
      <c r="E234" s="250">
        <f t="shared" si="2"/>
        <v>57500</v>
      </c>
    </row>
    <row r="235">
      <c r="A235" s="261" t="s">
        <v>626</v>
      </c>
      <c r="B235" s="261" t="s">
        <v>1348</v>
      </c>
      <c r="C235" s="263" t="s">
        <v>1183</v>
      </c>
      <c r="D235" s="269">
        <v>265000.0</v>
      </c>
      <c r="E235" s="250">
        <f t="shared" si="2"/>
        <v>304750</v>
      </c>
    </row>
    <row r="236">
      <c r="A236" s="264"/>
      <c r="B236" s="266"/>
      <c r="C236" s="263" t="s">
        <v>1184</v>
      </c>
      <c r="D236" s="269"/>
      <c r="E236" s="250">
        <f t="shared" si="2"/>
        <v>0</v>
      </c>
    </row>
    <row r="237">
      <c r="A237" s="264"/>
      <c r="B237" s="266"/>
      <c r="C237" s="263" t="s">
        <v>1186</v>
      </c>
      <c r="D237" s="263">
        <v>65000.0</v>
      </c>
      <c r="E237" s="250">
        <f t="shared" si="2"/>
        <v>74750</v>
      </c>
    </row>
    <row r="238">
      <c r="A238" s="267"/>
      <c r="B238" s="268"/>
      <c r="C238" s="263" t="s">
        <v>1260</v>
      </c>
      <c r="D238" s="263">
        <v>50000.0</v>
      </c>
      <c r="E238" s="250">
        <f t="shared" si="2"/>
        <v>57500</v>
      </c>
    </row>
    <row r="239">
      <c r="A239" s="261" t="s">
        <v>626</v>
      </c>
      <c r="B239" s="261" t="s">
        <v>1349</v>
      </c>
      <c r="C239" s="263" t="s">
        <v>1183</v>
      </c>
      <c r="D239" s="263">
        <v>215000.0</v>
      </c>
      <c r="E239" s="271">
        <f t="shared" si="2"/>
        <v>247250</v>
      </c>
    </row>
    <row r="240">
      <c r="A240" s="264"/>
      <c r="B240" s="266"/>
      <c r="C240" s="263" t="s">
        <v>1184</v>
      </c>
      <c r="D240" s="263">
        <v>80000.0</v>
      </c>
      <c r="E240" s="271">
        <f t="shared" si="2"/>
        <v>92000</v>
      </c>
    </row>
    <row r="241">
      <c r="A241" s="264"/>
      <c r="B241" s="266"/>
      <c r="C241" s="263" t="s">
        <v>1186</v>
      </c>
      <c r="D241" s="263">
        <v>65000.0</v>
      </c>
      <c r="E241" s="271">
        <f t="shared" si="2"/>
        <v>74750</v>
      </c>
    </row>
    <row r="242">
      <c r="A242" s="267"/>
      <c r="B242" s="268"/>
      <c r="C242" s="263" t="s">
        <v>1260</v>
      </c>
      <c r="D242" s="263"/>
      <c r="E242" s="271">
        <f t="shared" si="2"/>
        <v>0</v>
      </c>
      <c r="F242" s="272"/>
      <c r="G242" s="273"/>
      <c r="H242" s="273"/>
    </row>
    <row r="243">
      <c r="A243" s="274" t="s">
        <v>626</v>
      </c>
      <c r="B243" s="275" t="s">
        <v>1350</v>
      </c>
      <c r="C243" s="276" t="s">
        <v>1183</v>
      </c>
      <c r="D243" s="277">
        <v>316000.0</v>
      </c>
      <c r="E243" s="278">
        <f t="shared" si="2"/>
        <v>363400</v>
      </c>
      <c r="F243" s="272"/>
      <c r="G243" s="273"/>
      <c r="H243" s="273"/>
    </row>
    <row r="244">
      <c r="A244" s="279"/>
      <c r="B244" s="280"/>
      <c r="C244" s="276" t="s">
        <v>1184</v>
      </c>
      <c r="D244" s="281"/>
      <c r="E244" s="282">
        <f t="shared" si="2"/>
        <v>0</v>
      </c>
      <c r="F244" s="272"/>
      <c r="G244" s="273"/>
      <c r="H244" s="273"/>
    </row>
    <row r="245">
      <c r="A245" s="279"/>
      <c r="B245" s="283"/>
      <c r="C245" s="276" t="s">
        <v>1186</v>
      </c>
      <c r="D245" s="277">
        <v>65000.0</v>
      </c>
      <c r="E245" s="278">
        <f t="shared" si="2"/>
        <v>74750</v>
      </c>
      <c r="F245" s="272"/>
      <c r="G245" s="273"/>
      <c r="H245" s="273"/>
    </row>
    <row r="246">
      <c r="A246" s="279"/>
      <c r="B246" s="280"/>
      <c r="C246" s="276" t="s">
        <v>1260</v>
      </c>
      <c r="D246" s="284"/>
      <c r="E246" s="282">
        <f t="shared" si="2"/>
        <v>0</v>
      </c>
      <c r="F246" s="285"/>
      <c r="G246" s="286"/>
      <c r="H246" s="273"/>
    </row>
    <row r="247">
      <c r="A247" s="274" t="s">
        <v>626</v>
      </c>
      <c r="B247" s="275" t="s">
        <v>1351</v>
      </c>
      <c r="C247" s="276" t="s">
        <v>1183</v>
      </c>
      <c r="D247" s="277">
        <v>333000.0</v>
      </c>
      <c r="E247" s="278">
        <f t="shared" si="2"/>
        <v>382950</v>
      </c>
      <c r="F247" s="285"/>
      <c r="G247" s="286"/>
      <c r="H247" s="287"/>
    </row>
    <row r="248">
      <c r="A248" s="279"/>
      <c r="B248" s="280"/>
      <c r="C248" s="276" t="s">
        <v>1184</v>
      </c>
      <c r="D248" s="281"/>
      <c r="E248" s="282">
        <f t="shared" si="2"/>
        <v>0</v>
      </c>
      <c r="F248" s="285"/>
      <c r="G248" s="286"/>
      <c r="H248" s="273"/>
    </row>
    <row r="249">
      <c r="A249" s="279"/>
      <c r="B249" s="283"/>
      <c r="C249" s="276" t="s">
        <v>1186</v>
      </c>
      <c r="D249" s="277">
        <v>65000.0</v>
      </c>
      <c r="E249" s="278">
        <f t="shared" si="2"/>
        <v>74750</v>
      </c>
      <c r="F249" s="285"/>
      <c r="G249" s="286"/>
      <c r="H249" s="273"/>
    </row>
    <row r="250">
      <c r="A250" s="279"/>
      <c r="B250" s="280"/>
      <c r="C250" s="276" t="s">
        <v>1260</v>
      </c>
      <c r="D250" s="288">
        <v>60000.0</v>
      </c>
      <c r="E250" s="282">
        <f t="shared" si="2"/>
        <v>69000</v>
      </c>
      <c r="F250" s="285"/>
      <c r="G250" s="286"/>
      <c r="H250" s="273"/>
    </row>
    <row r="251">
      <c r="A251" s="274" t="s">
        <v>626</v>
      </c>
      <c r="B251" s="275" t="s">
        <v>1352</v>
      </c>
      <c r="C251" s="276" t="s">
        <v>1183</v>
      </c>
      <c r="D251" s="277">
        <v>207000.0</v>
      </c>
      <c r="E251" s="278">
        <f t="shared" si="2"/>
        <v>238050</v>
      </c>
      <c r="F251" s="285"/>
      <c r="G251" s="286"/>
      <c r="H251" s="273"/>
    </row>
    <row r="252">
      <c r="A252" s="279"/>
      <c r="B252" s="280"/>
      <c r="C252" s="276" t="s">
        <v>1184</v>
      </c>
      <c r="D252" s="281"/>
      <c r="E252" s="282">
        <f t="shared" si="2"/>
        <v>0</v>
      </c>
      <c r="F252" s="285"/>
      <c r="G252" s="286"/>
      <c r="H252" s="273"/>
    </row>
    <row r="253">
      <c r="A253" s="279"/>
      <c r="B253" s="283"/>
      <c r="C253" s="276" t="s">
        <v>1186</v>
      </c>
      <c r="D253" s="277">
        <v>65000.0</v>
      </c>
      <c r="E253" s="278">
        <f t="shared" si="2"/>
        <v>74750</v>
      </c>
      <c r="F253" s="272"/>
      <c r="G253" s="273"/>
      <c r="H253" s="273"/>
    </row>
    <row r="254">
      <c r="A254" s="279"/>
      <c r="B254" s="280"/>
      <c r="C254" s="276" t="s">
        <v>1260</v>
      </c>
      <c r="D254" s="288">
        <v>60000.0</v>
      </c>
      <c r="E254" s="282">
        <f t="shared" si="2"/>
        <v>69000</v>
      </c>
      <c r="F254" s="272"/>
      <c r="G254" s="273"/>
      <c r="H254" s="273"/>
    </row>
    <row r="255">
      <c r="A255" s="274" t="s">
        <v>626</v>
      </c>
      <c r="B255" s="275" t="s">
        <v>1353</v>
      </c>
      <c r="C255" s="276" t="s">
        <v>1183</v>
      </c>
      <c r="D255" s="277">
        <v>287000.0</v>
      </c>
      <c r="E255" s="278">
        <f t="shared" si="2"/>
        <v>330050</v>
      </c>
      <c r="F255" s="272"/>
      <c r="G255" s="273"/>
      <c r="H255" s="273"/>
    </row>
    <row r="256">
      <c r="A256" s="279"/>
      <c r="B256" s="280"/>
      <c r="C256" s="276" t="s">
        <v>1184</v>
      </c>
      <c r="D256" s="281"/>
      <c r="E256" s="282">
        <f t="shared" si="2"/>
        <v>0</v>
      </c>
      <c r="F256" s="272"/>
      <c r="G256" s="273"/>
      <c r="H256" s="273"/>
    </row>
    <row r="257">
      <c r="A257" s="279"/>
      <c r="B257" s="283"/>
      <c r="C257" s="276" t="s">
        <v>1186</v>
      </c>
      <c r="D257" s="277">
        <v>65000.0</v>
      </c>
      <c r="E257" s="278">
        <f t="shared" si="2"/>
        <v>74750</v>
      </c>
      <c r="F257" s="272"/>
      <c r="G257" s="273"/>
      <c r="H257" s="273"/>
    </row>
    <row r="258">
      <c r="A258" s="279"/>
      <c r="B258" s="280"/>
      <c r="C258" s="276" t="s">
        <v>1260</v>
      </c>
      <c r="D258" s="289"/>
      <c r="E258" s="290">
        <f t="shared" si="2"/>
        <v>0</v>
      </c>
      <c r="F258" s="272"/>
      <c r="G258" s="273"/>
      <c r="H258" s="273"/>
    </row>
    <row r="259">
      <c r="A259" s="274" t="s">
        <v>626</v>
      </c>
      <c r="B259" s="275" t="s">
        <v>1354</v>
      </c>
      <c r="C259" s="276" t="s">
        <v>1183</v>
      </c>
      <c r="D259" s="291">
        <v>395000.0</v>
      </c>
      <c r="E259" s="292">
        <f t="shared" si="2"/>
        <v>454250</v>
      </c>
      <c r="F259" s="272"/>
      <c r="G259" s="273"/>
      <c r="H259" s="273"/>
    </row>
    <row r="260">
      <c r="A260" s="279"/>
      <c r="B260" s="280"/>
      <c r="C260" s="276" t="s">
        <v>1184</v>
      </c>
      <c r="D260" s="293"/>
      <c r="E260" s="290">
        <f t="shared" si="2"/>
        <v>0</v>
      </c>
      <c r="F260" s="272"/>
      <c r="G260" s="273"/>
      <c r="H260" s="273"/>
    </row>
    <row r="261">
      <c r="A261" s="279"/>
      <c r="B261" s="283"/>
      <c r="C261" s="276" t="s">
        <v>1186</v>
      </c>
      <c r="D261" s="294">
        <v>65000.0</v>
      </c>
      <c r="E261" s="292">
        <f t="shared" si="2"/>
        <v>74750</v>
      </c>
      <c r="F261" s="272"/>
      <c r="G261" s="273"/>
      <c r="H261" s="273"/>
    </row>
    <row r="262">
      <c r="A262" s="279"/>
      <c r="B262" s="280"/>
      <c r="C262" s="276" t="s">
        <v>1260</v>
      </c>
      <c r="D262" s="289"/>
      <c r="E262" s="290">
        <f t="shared" si="2"/>
        <v>0</v>
      </c>
    </row>
    <row r="263">
      <c r="A263" s="274" t="s">
        <v>626</v>
      </c>
      <c r="B263" s="275" t="s">
        <v>1355</v>
      </c>
      <c r="C263" s="276" t="s">
        <v>1183</v>
      </c>
      <c r="D263" s="295">
        <v>65000.0</v>
      </c>
      <c r="E263" s="290">
        <f t="shared" si="2"/>
        <v>74750</v>
      </c>
    </row>
    <row r="264">
      <c r="A264" s="279"/>
      <c r="B264" s="280"/>
      <c r="C264" s="276" t="s">
        <v>1184</v>
      </c>
      <c r="D264" s="296">
        <v>60000.0</v>
      </c>
      <c r="E264" s="290">
        <f t="shared" si="2"/>
        <v>69000</v>
      </c>
    </row>
    <row r="265">
      <c r="A265" s="279"/>
      <c r="B265" s="297"/>
      <c r="C265" s="276" t="s">
        <v>1186</v>
      </c>
      <c r="D265" s="296">
        <v>45000.0</v>
      </c>
      <c r="E265" s="290">
        <f t="shared" si="2"/>
        <v>51750</v>
      </c>
      <c r="F265" s="255"/>
      <c r="G265" s="255"/>
      <c r="H265" s="255"/>
    </row>
    <row r="266">
      <c r="A266" s="279"/>
      <c r="B266" s="298"/>
      <c r="C266" s="276" t="s">
        <v>1260</v>
      </c>
      <c r="D266" s="299"/>
      <c r="E266" s="290">
        <f t="shared" si="2"/>
        <v>0</v>
      </c>
      <c r="F266" s="255"/>
      <c r="G266" s="255"/>
      <c r="H266" s="255"/>
    </row>
    <row r="267">
      <c r="A267" s="274" t="s">
        <v>626</v>
      </c>
      <c r="B267" s="275" t="s">
        <v>1356</v>
      </c>
      <c r="C267" s="276" t="s">
        <v>1183</v>
      </c>
      <c r="D267" s="295">
        <v>128000.0</v>
      </c>
      <c r="E267" s="290">
        <f t="shared" si="2"/>
        <v>147200</v>
      </c>
      <c r="F267" s="255"/>
      <c r="G267" s="255"/>
      <c r="H267" s="255"/>
    </row>
    <row r="268">
      <c r="A268" s="279"/>
      <c r="B268" s="300" t="s">
        <v>1357</v>
      </c>
      <c r="C268" s="276" t="s">
        <v>1184</v>
      </c>
      <c r="D268" s="296">
        <v>65000.0</v>
      </c>
      <c r="E268" s="290">
        <f t="shared" si="2"/>
        <v>74750</v>
      </c>
      <c r="F268" s="255"/>
      <c r="G268" s="255"/>
      <c r="H268" s="255"/>
    </row>
    <row r="269">
      <c r="A269" s="279"/>
      <c r="B269" s="297"/>
      <c r="C269" s="276" t="s">
        <v>1186</v>
      </c>
      <c r="D269" s="296">
        <v>45000.0</v>
      </c>
      <c r="E269" s="290">
        <f t="shared" si="2"/>
        <v>51750</v>
      </c>
      <c r="F269" s="255"/>
      <c r="G269" s="255"/>
      <c r="H269" s="255"/>
    </row>
    <row r="270">
      <c r="A270" s="279"/>
      <c r="B270" s="298"/>
      <c r="C270" s="276" t="s">
        <v>1260</v>
      </c>
      <c r="D270" s="299"/>
      <c r="E270" s="290">
        <f t="shared" si="2"/>
        <v>0</v>
      </c>
      <c r="F270" s="255"/>
      <c r="G270" s="255"/>
      <c r="H270" s="255"/>
    </row>
    <row r="271">
      <c r="A271" s="274" t="s">
        <v>626</v>
      </c>
      <c r="B271" s="275" t="s">
        <v>1358</v>
      </c>
      <c r="C271" s="276" t="s">
        <v>1183</v>
      </c>
      <c r="D271" s="295">
        <v>65000.0</v>
      </c>
      <c r="E271" s="290">
        <f t="shared" si="2"/>
        <v>74750</v>
      </c>
      <c r="F271" s="255"/>
      <c r="G271" s="255"/>
      <c r="H271" s="255"/>
    </row>
    <row r="272">
      <c r="A272" s="279"/>
      <c r="B272" s="298"/>
      <c r="C272" s="276" t="s">
        <v>1184</v>
      </c>
      <c r="D272" s="296">
        <v>50000.0</v>
      </c>
      <c r="E272" s="290">
        <f t="shared" si="2"/>
        <v>57500</v>
      </c>
      <c r="F272" s="255"/>
      <c r="G272" s="255"/>
      <c r="H272" s="255"/>
    </row>
    <row r="273">
      <c r="A273" s="279"/>
      <c r="B273" s="297"/>
      <c r="C273" s="276" t="s">
        <v>1186</v>
      </c>
      <c r="D273" s="296">
        <v>45000.0</v>
      </c>
      <c r="E273" s="290">
        <f t="shared" si="2"/>
        <v>51750</v>
      </c>
      <c r="F273" s="255"/>
      <c r="G273" s="255"/>
      <c r="H273" s="255"/>
    </row>
    <row r="274">
      <c r="A274" s="279"/>
      <c r="B274" s="298"/>
      <c r="C274" s="276" t="s">
        <v>1260</v>
      </c>
      <c r="D274" s="299"/>
      <c r="E274" s="290">
        <f t="shared" si="2"/>
        <v>0</v>
      </c>
    </row>
    <row r="275">
      <c r="A275" s="274" t="s">
        <v>626</v>
      </c>
      <c r="B275" s="275" t="s">
        <v>1359</v>
      </c>
      <c r="C275" s="276" t="s">
        <v>1183</v>
      </c>
      <c r="D275" s="295">
        <v>68000.0</v>
      </c>
      <c r="E275" s="290">
        <f t="shared" si="2"/>
        <v>78200</v>
      </c>
    </row>
    <row r="276">
      <c r="A276" s="279"/>
      <c r="B276" s="298"/>
      <c r="C276" s="276" t="s">
        <v>1184</v>
      </c>
      <c r="D276" s="293"/>
      <c r="E276" s="290">
        <f t="shared" si="2"/>
        <v>0</v>
      </c>
    </row>
    <row r="277">
      <c r="A277" s="279"/>
      <c r="B277" s="297"/>
      <c r="C277" s="276" t="s">
        <v>1186</v>
      </c>
      <c r="D277" s="296">
        <v>45000.0</v>
      </c>
      <c r="E277" s="290">
        <f t="shared" si="2"/>
        <v>51750</v>
      </c>
    </row>
    <row r="278">
      <c r="A278" s="279"/>
      <c r="B278" s="298"/>
      <c r="C278" s="276" t="s">
        <v>1260</v>
      </c>
      <c r="D278" s="299"/>
      <c r="E278" s="290">
        <f t="shared" si="2"/>
        <v>0</v>
      </c>
      <c r="F278" s="255"/>
      <c r="G278" s="255"/>
      <c r="H278" s="255"/>
    </row>
    <row r="279">
      <c r="A279" s="274" t="s">
        <v>626</v>
      </c>
      <c r="B279" s="275" t="s">
        <v>1360</v>
      </c>
      <c r="C279" s="276" t="s">
        <v>1183</v>
      </c>
      <c r="D279" s="295">
        <v>88000.0</v>
      </c>
      <c r="E279" s="290">
        <f t="shared" si="2"/>
        <v>101200</v>
      </c>
      <c r="F279" s="255"/>
      <c r="G279" s="255"/>
      <c r="H279" s="255"/>
    </row>
    <row r="280">
      <c r="A280" s="279"/>
      <c r="B280" s="298"/>
      <c r="C280" s="276" t="s">
        <v>1184</v>
      </c>
      <c r="D280" s="293"/>
      <c r="E280" s="290">
        <f t="shared" si="2"/>
        <v>0</v>
      </c>
      <c r="F280" s="255"/>
      <c r="G280" s="255"/>
      <c r="H280" s="255"/>
    </row>
    <row r="281">
      <c r="A281" s="279"/>
      <c r="B281" s="297"/>
      <c r="C281" s="276" t="s">
        <v>1186</v>
      </c>
      <c r="D281" s="296">
        <v>45000.0</v>
      </c>
      <c r="E281" s="290">
        <f t="shared" si="2"/>
        <v>51750</v>
      </c>
      <c r="F281" s="255"/>
      <c r="G281" s="255"/>
      <c r="H281" s="255"/>
    </row>
    <row r="282">
      <c r="A282" s="279"/>
      <c r="B282" s="298"/>
      <c r="C282" s="276" t="s">
        <v>1260</v>
      </c>
      <c r="D282" s="299"/>
      <c r="E282" s="290">
        <f t="shared" si="2"/>
        <v>0</v>
      </c>
      <c r="F282" s="255"/>
      <c r="G282" s="255"/>
      <c r="H282" s="255"/>
    </row>
    <row r="283">
      <c r="A283" s="274" t="s">
        <v>626</v>
      </c>
      <c r="B283" s="275" t="s">
        <v>1361</v>
      </c>
      <c r="C283" s="276" t="s">
        <v>1183</v>
      </c>
      <c r="D283" s="295">
        <v>65000.0</v>
      </c>
      <c r="E283" s="290">
        <f t="shared" si="2"/>
        <v>74750</v>
      </c>
      <c r="F283" s="255"/>
      <c r="G283" s="255"/>
      <c r="H283" s="255"/>
    </row>
    <row r="284">
      <c r="A284" s="279"/>
      <c r="B284" s="298"/>
      <c r="C284" s="276" t="s">
        <v>1184</v>
      </c>
      <c r="D284" s="293"/>
      <c r="E284" s="290">
        <f t="shared" si="2"/>
        <v>0</v>
      </c>
      <c r="F284" s="255"/>
      <c r="G284" s="255"/>
      <c r="H284" s="255"/>
    </row>
    <row r="285">
      <c r="A285" s="279"/>
      <c r="B285" s="297"/>
      <c r="C285" s="276" t="s">
        <v>1186</v>
      </c>
      <c r="D285" s="296">
        <v>45000.0</v>
      </c>
      <c r="E285" s="290">
        <f t="shared" si="2"/>
        <v>51750</v>
      </c>
      <c r="F285" s="255"/>
      <c r="G285" s="255"/>
      <c r="H285" s="255"/>
    </row>
    <row r="286">
      <c r="A286" s="279"/>
      <c r="B286" s="298"/>
      <c r="C286" s="276" t="s">
        <v>1260</v>
      </c>
      <c r="D286" s="299"/>
      <c r="E286" s="290">
        <f t="shared" si="2"/>
        <v>0</v>
      </c>
      <c r="F286" s="255"/>
      <c r="G286" s="255"/>
      <c r="H286" s="255"/>
    </row>
    <row r="287">
      <c r="A287" s="274" t="s">
        <v>626</v>
      </c>
      <c r="B287" s="301" t="s">
        <v>1362</v>
      </c>
      <c r="C287" s="276" t="s">
        <v>1183</v>
      </c>
      <c r="D287" s="294">
        <v>72000.0</v>
      </c>
      <c r="E287" s="290">
        <f t="shared" si="2"/>
        <v>82800</v>
      </c>
    </row>
    <row r="288">
      <c r="A288" s="279"/>
      <c r="B288" s="298"/>
      <c r="C288" s="276" t="s">
        <v>1184</v>
      </c>
      <c r="D288" s="293"/>
      <c r="E288" s="290">
        <f t="shared" si="2"/>
        <v>0</v>
      </c>
    </row>
    <row r="289">
      <c r="A289" s="279"/>
      <c r="B289" s="297"/>
      <c r="C289" s="276" t="s">
        <v>1186</v>
      </c>
      <c r="D289" s="294">
        <v>45000.0</v>
      </c>
      <c r="E289" s="290">
        <f t="shared" si="2"/>
        <v>51750</v>
      </c>
    </row>
    <row r="290">
      <c r="A290" s="279"/>
      <c r="B290" s="298"/>
      <c r="C290" s="276" t="s">
        <v>1260</v>
      </c>
      <c r="D290" s="289"/>
      <c r="E290" s="290">
        <f t="shared" si="2"/>
        <v>0</v>
      </c>
    </row>
    <row r="291">
      <c r="A291" s="274" t="s">
        <v>626</v>
      </c>
      <c r="B291" s="301" t="s">
        <v>1363</v>
      </c>
      <c r="C291" s="276" t="s">
        <v>1183</v>
      </c>
      <c r="D291" s="294">
        <v>84000.0</v>
      </c>
      <c r="E291" s="290">
        <f t="shared" si="2"/>
        <v>96600</v>
      </c>
    </row>
    <row r="292">
      <c r="A292" s="279"/>
      <c r="B292" s="298"/>
      <c r="C292" s="276" t="s">
        <v>1184</v>
      </c>
      <c r="D292" s="302">
        <v>60000.0</v>
      </c>
      <c r="E292" s="290">
        <f t="shared" si="2"/>
        <v>69000</v>
      </c>
    </row>
    <row r="293">
      <c r="A293" s="279"/>
      <c r="B293" s="297"/>
      <c r="C293" s="276" t="s">
        <v>1186</v>
      </c>
      <c r="D293" s="294">
        <v>45000.0</v>
      </c>
      <c r="E293" s="290">
        <f t="shared" si="2"/>
        <v>51750</v>
      </c>
      <c r="F293" s="255"/>
      <c r="G293" s="255"/>
      <c r="H293" s="255"/>
    </row>
    <row r="294">
      <c r="A294" s="279"/>
      <c r="B294" s="298"/>
      <c r="C294" s="276" t="s">
        <v>1260</v>
      </c>
      <c r="D294" s="289"/>
      <c r="E294" s="290">
        <f t="shared" si="2"/>
        <v>0</v>
      </c>
      <c r="F294" s="255"/>
      <c r="G294" s="255"/>
      <c r="H294" s="255"/>
    </row>
    <row r="295">
      <c r="A295" s="274" t="s">
        <v>626</v>
      </c>
      <c r="B295" s="301" t="s">
        <v>1364</v>
      </c>
      <c r="C295" s="276" t="s">
        <v>1183</v>
      </c>
      <c r="D295" s="294">
        <v>87500.0</v>
      </c>
      <c r="E295" s="290">
        <f t="shared" si="2"/>
        <v>100625</v>
      </c>
      <c r="F295" s="255"/>
      <c r="G295" s="255"/>
      <c r="H295" s="255"/>
    </row>
    <row r="296">
      <c r="A296" s="279"/>
      <c r="B296" s="298"/>
      <c r="C296" s="276" t="s">
        <v>1184</v>
      </c>
      <c r="D296" s="302">
        <v>60000.0</v>
      </c>
      <c r="E296" s="290">
        <f t="shared" si="2"/>
        <v>69000</v>
      </c>
      <c r="F296" s="255"/>
      <c r="G296" s="255"/>
      <c r="H296" s="255"/>
    </row>
    <row r="297">
      <c r="A297" s="279"/>
      <c r="B297" s="297"/>
      <c r="C297" s="276" t="s">
        <v>1186</v>
      </c>
      <c r="D297" s="294">
        <v>45000.0</v>
      </c>
      <c r="E297" s="290">
        <f t="shared" si="2"/>
        <v>51750</v>
      </c>
      <c r="F297" s="255"/>
      <c r="G297" s="255"/>
      <c r="H297" s="255"/>
    </row>
    <row r="298">
      <c r="A298" s="279"/>
      <c r="B298" s="298"/>
      <c r="C298" s="276" t="s">
        <v>1260</v>
      </c>
      <c r="D298" s="289"/>
      <c r="E298" s="290">
        <f t="shared" si="2"/>
        <v>0</v>
      </c>
      <c r="F298" s="255"/>
      <c r="G298" s="255"/>
      <c r="H298" s="255"/>
    </row>
    <row r="299">
      <c r="A299" s="274" t="s">
        <v>626</v>
      </c>
      <c r="B299" s="301" t="s">
        <v>1365</v>
      </c>
      <c r="C299" s="276" t="s">
        <v>1183</v>
      </c>
      <c r="D299" s="294">
        <v>100000.0</v>
      </c>
      <c r="E299" s="290">
        <f t="shared" si="2"/>
        <v>115000</v>
      </c>
      <c r="F299" s="255"/>
      <c r="G299" s="255"/>
      <c r="H299" s="255"/>
    </row>
    <row r="300">
      <c r="A300" s="279"/>
      <c r="B300" s="298"/>
      <c r="C300" s="276" t="s">
        <v>1184</v>
      </c>
      <c r="D300" s="302">
        <v>60000.0</v>
      </c>
      <c r="E300" s="290">
        <f t="shared" si="2"/>
        <v>69000</v>
      </c>
      <c r="F300" s="255"/>
      <c r="G300" s="255"/>
      <c r="H300" s="255"/>
    </row>
    <row r="301">
      <c r="A301" s="279"/>
      <c r="B301" s="297"/>
      <c r="C301" s="276" t="s">
        <v>1186</v>
      </c>
      <c r="D301" s="294">
        <v>45000.0</v>
      </c>
      <c r="E301" s="290">
        <f t="shared" si="2"/>
        <v>51750</v>
      </c>
      <c r="F301" s="255"/>
      <c r="G301" s="255"/>
      <c r="H301" s="255"/>
    </row>
    <row r="302">
      <c r="A302" s="303"/>
      <c r="B302" s="304"/>
      <c r="C302" s="305" t="s">
        <v>1260</v>
      </c>
      <c r="D302" s="289"/>
      <c r="E302" s="290"/>
    </row>
    <row r="303">
      <c r="A303" s="279"/>
      <c r="B303" s="298"/>
      <c r="C303" s="306"/>
      <c r="D303" s="307"/>
      <c r="E303" s="308"/>
    </row>
    <row r="304">
      <c r="A304" s="279"/>
      <c r="B304" s="298"/>
      <c r="C304" s="306"/>
      <c r="D304" s="307"/>
      <c r="E304" s="308"/>
    </row>
    <row r="305">
      <c r="A305" s="279"/>
      <c r="B305" s="298"/>
      <c r="C305" s="306"/>
      <c r="D305" s="307"/>
      <c r="E305" s="308"/>
    </row>
    <row r="306">
      <c r="A306" s="279"/>
      <c r="B306" s="298"/>
      <c r="C306" s="306"/>
      <c r="D306" s="307"/>
      <c r="E306" s="308"/>
    </row>
    <row r="307">
      <c r="A307" s="309"/>
      <c r="B307" s="10"/>
      <c r="C307" s="309"/>
      <c r="D307" s="310"/>
      <c r="E307" s="310"/>
    </row>
    <row r="308">
      <c r="A308" s="309"/>
      <c r="B308" s="10"/>
      <c r="C308" s="309"/>
      <c r="D308" s="310"/>
      <c r="E308" s="310"/>
    </row>
    <row r="309">
      <c r="A309" s="309"/>
      <c r="B309" s="10"/>
      <c r="C309" s="309"/>
      <c r="D309" s="310"/>
      <c r="E309" s="310"/>
    </row>
    <row r="310">
      <c r="A310" s="309"/>
      <c r="B310" s="10"/>
      <c r="C310" s="309"/>
      <c r="D310" s="310"/>
      <c r="E310" s="310"/>
    </row>
    <row r="311">
      <c r="B311" s="10"/>
      <c r="D311" s="310"/>
      <c r="E311" s="310"/>
    </row>
    <row r="312">
      <c r="B312" s="10"/>
      <c r="D312" s="310"/>
      <c r="E312" s="310"/>
    </row>
    <row r="313">
      <c r="B313" s="10"/>
      <c r="D313" s="310"/>
      <c r="E313" s="310"/>
    </row>
    <row r="314">
      <c r="B314" s="10"/>
      <c r="D314" s="310"/>
      <c r="E314" s="310"/>
    </row>
    <row r="315">
      <c r="B315" s="10"/>
      <c r="D315" s="310"/>
      <c r="E315" s="310"/>
    </row>
    <row r="316">
      <c r="B316" s="10"/>
      <c r="D316" s="310"/>
      <c r="E316" s="310"/>
    </row>
    <row r="317">
      <c r="B317" s="10"/>
      <c r="D317" s="310"/>
      <c r="E317" s="310"/>
    </row>
    <row r="318">
      <c r="B318" s="10"/>
      <c r="D318" s="310"/>
      <c r="E318" s="310"/>
    </row>
    <row r="319">
      <c r="B319" s="10"/>
      <c r="D319" s="310"/>
      <c r="E319" s="310"/>
    </row>
    <row r="320">
      <c r="B320" s="10"/>
      <c r="D320" s="310"/>
      <c r="E320" s="310"/>
    </row>
    <row r="321">
      <c r="B321" s="10"/>
      <c r="D321" s="310"/>
      <c r="E321" s="310"/>
    </row>
    <row r="322">
      <c r="B322" s="10"/>
      <c r="D322" s="310"/>
      <c r="E322" s="310"/>
    </row>
    <row r="323">
      <c r="B323" s="10"/>
      <c r="D323" s="310"/>
      <c r="E323" s="310"/>
    </row>
    <row r="324">
      <c r="B324" s="10"/>
      <c r="D324" s="310"/>
      <c r="E324" s="310"/>
    </row>
    <row r="325">
      <c r="B325" s="10"/>
      <c r="D325" s="310"/>
      <c r="E325" s="310"/>
    </row>
    <row r="326">
      <c r="B326" s="10"/>
      <c r="D326" s="310"/>
      <c r="E326" s="310"/>
    </row>
    <row r="327">
      <c r="B327" s="10"/>
      <c r="D327" s="310"/>
      <c r="E327" s="310"/>
    </row>
    <row r="328">
      <c r="B328" s="10"/>
      <c r="D328" s="310"/>
      <c r="E328" s="310"/>
    </row>
    <row r="329">
      <c r="B329" s="10"/>
      <c r="D329" s="310"/>
      <c r="E329" s="310"/>
    </row>
    <row r="330">
      <c r="B330" s="10"/>
      <c r="D330" s="310"/>
      <c r="E330" s="310"/>
    </row>
    <row r="331">
      <c r="B331" s="10"/>
      <c r="D331" s="310"/>
      <c r="E331" s="310"/>
    </row>
    <row r="332">
      <c r="B332" s="10"/>
      <c r="D332" s="310"/>
      <c r="E332" s="310"/>
    </row>
    <row r="333">
      <c r="B333" s="10"/>
      <c r="D333" s="310"/>
      <c r="E333" s="310"/>
    </row>
    <row r="334">
      <c r="B334" s="10"/>
      <c r="D334" s="310"/>
      <c r="E334" s="310"/>
    </row>
    <row r="335">
      <c r="D335" s="310"/>
      <c r="E335" s="310"/>
    </row>
    <row r="336">
      <c r="D336" s="310"/>
      <c r="E336" s="310"/>
    </row>
    <row r="337">
      <c r="D337" s="310"/>
      <c r="E337" s="310"/>
    </row>
    <row r="338">
      <c r="D338" s="310"/>
      <c r="E338" s="310"/>
    </row>
    <row r="339">
      <c r="D339" s="310"/>
      <c r="E339" s="310"/>
    </row>
    <row r="340">
      <c r="D340" s="310"/>
      <c r="E340" s="310"/>
    </row>
    <row r="341">
      <c r="D341" s="310"/>
      <c r="E341" s="310"/>
    </row>
    <row r="342">
      <c r="D342" s="310"/>
      <c r="E342" s="310"/>
    </row>
    <row r="343">
      <c r="D343" s="310"/>
      <c r="E343" s="310"/>
    </row>
  </sheetData>
  <dataValidations>
    <dataValidation type="list" allowBlank="1" sqref="C185:C302">
      <formula1>"MODULO ORIGINAL,MODULO ALTERATIVO,BATERIA ORIGINAL,BATERIA ALTERNATIVA,PIN DE CARGA,MODULO SAMSUNG ORI,PLACA DE CARGA,TAPA"</formula1>
    </dataValidation>
    <dataValidation type="list" allowBlank="1" sqref="A185:A302">
      <formula1>"SAMSUNG,IPHONE,MOTOROLA,XIAOMI,HUAWEI,TCL"</formula1>
    </dataValidation>
    <dataValidation type="list" allowBlank="1" sqref="C2:C184">
      <formula1>"MODULO ORIGINAL,MODULO ALTERATIVO,BATERIA ORIGINAL,BATERIA ALTERNATIVA,PIN DE CARGA,MODULO SAMSUNG ORI,PLACA DE CARGA,TAPA"</formula1>
    </dataValidation>
    <dataValidation type="list" allowBlank="1" sqref="A2:A184">
      <formula1>"SAMSUNG,IPHONE,MOTOROLA,XIAOMI,HUAWEI,TCL"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2.63"/>
    <col customWidth="1" min="4" max="5" width="22.63"/>
  </cols>
  <sheetData>
    <row r="1" ht="22.5" customHeight="1">
      <c r="A1" s="311" t="s">
        <v>1178</v>
      </c>
      <c r="B1" s="311" t="s">
        <v>1179</v>
      </c>
      <c r="C1" s="311" t="s">
        <v>1180</v>
      </c>
      <c r="D1" s="311" t="s">
        <v>1181</v>
      </c>
      <c r="E1" s="311" t="s">
        <v>624</v>
      </c>
    </row>
    <row r="2" ht="22.5" customHeight="1">
      <c r="A2" s="196" t="s">
        <v>1076</v>
      </c>
      <c r="B2" s="197" t="s">
        <v>1366</v>
      </c>
      <c r="C2" s="198" t="s">
        <v>1183</v>
      </c>
      <c r="D2" s="199">
        <v>65000.0</v>
      </c>
      <c r="E2" s="200">
        <f t="shared" ref="E2:E166" si="1">(D2*1.15)</f>
        <v>74750</v>
      </c>
    </row>
    <row r="3" ht="22.5" customHeight="1">
      <c r="A3" s="201"/>
      <c r="B3" s="202"/>
      <c r="C3" s="198" t="s">
        <v>1184</v>
      </c>
      <c r="D3" s="199">
        <v>50000.0</v>
      </c>
      <c r="E3" s="200">
        <f t="shared" si="1"/>
        <v>57500</v>
      </c>
    </row>
    <row r="4" ht="22.5" customHeight="1">
      <c r="A4" s="201"/>
      <c r="B4" s="203"/>
      <c r="C4" s="198" t="s">
        <v>1186</v>
      </c>
      <c r="D4" s="199">
        <v>28000.0</v>
      </c>
      <c r="E4" s="200">
        <f t="shared" si="1"/>
        <v>32200</v>
      </c>
    </row>
    <row r="5" ht="22.5" customHeight="1">
      <c r="A5" s="211"/>
      <c r="B5" s="208"/>
      <c r="C5" s="198" t="s">
        <v>1260</v>
      </c>
      <c r="D5" s="199"/>
      <c r="E5" s="200">
        <f t="shared" si="1"/>
        <v>0</v>
      </c>
    </row>
    <row r="6" ht="22.5" customHeight="1">
      <c r="A6" s="196" t="s">
        <v>1076</v>
      </c>
      <c r="B6" s="204" t="s">
        <v>1367</v>
      </c>
      <c r="C6" s="198" t="s">
        <v>1183</v>
      </c>
      <c r="D6" s="199">
        <v>135000.0</v>
      </c>
      <c r="E6" s="200">
        <f t="shared" si="1"/>
        <v>155250</v>
      </c>
    </row>
    <row r="7" ht="22.5" customHeight="1">
      <c r="A7" s="201"/>
      <c r="B7" s="203"/>
      <c r="C7" s="198" t="s">
        <v>1184</v>
      </c>
      <c r="D7" s="199">
        <v>65000.0</v>
      </c>
      <c r="E7" s="200">
        <f t="shared" si="1"/>
        <v>74750</v>
      </c>
    </row>
    <row r="8" ht="22.5" customHeight="1">
      <c r="A8" s="201"/>
      <c r="B8" s="203"/>
      <c r="C8" s="198" t="s">
        <v>1186</v>
      </c>
      <c r="D8" s="199"/>
      <c r="E8" s="200">
        <f t="shared" si="1"/>
        <v>0</v>
      </c>
    </row>
    <row r="9" ht="22.5" customHeight="1">
      <c r="A9" s="211"/>
      <c r="B9" s="208"/>
      <c r="C9" s="198" t="s">
        <v>1260</v>
      </c>
      <c r="D9" s="199"/>
      <c r="E9" s="200">
        <f t="shared" si="1"/>
        <v>0</v>
      </c>
    </row>
    <row r="10" ht="22.5" customHeight="1">
      <c r="A10" s="312" t="s">
        <v>1076</v>
      </c>
      <c r="B10" s="313" t="s">
        <v>1368</v>
      </c>
      <c r="C10" s="314" t="s">
        <v>1183</v>
      </c>
      <c r="D10" s="199">
        <v>70000.0</v>
      </c>
      <c r="E10" s="200">
        <f t="shared" si="1"/>
        <v>80500</v>
      </c>
    </row>
    <row r="11" ht="22.5" customHeight="1">
      <c r="A11" s="315"/>
      <c r="B11" s="316" t="s">
        <v>1369</v>
      </c>
      <c r="C11" s="314" t="s">
        <v>1184</v>
      </c>
      <c r="D11" s="199"/>
      <c r="E11" s="200">
        <f t="shared" si="1"/>
        <v>0</v>
      </c>
    </row>
    <row r="12" ht="22.5" customHeight="1">
      <c r="A12" s="317"/>
      <c r="B12" s="318"/>
      <c r="C12" s="314" t="s">
        <v>1186</v>
      </c>
      <c r="D12" s="199"/>
      <c r="E12" s="200">
        <f t="shared" si="1"/>
        <v>0</v>
      </c>
    </row>
    <row r="13" ht="22.5" customHeight="1">
      <c r="A13" s="319"/>
      <c r="B13" s="236"/>
      <c r="C13" s="314" t="s">
        <v>1260</v>
      </c>
      <c r="D13" s="199"/>
      <c r="E13" s="200">
        <f t="shared" si="1"/>
        <v>0</v>
      </c>
    </row>
    <row r="14" ht="22.5" customHeight="1">
      <c r="A14" s="196" t="s">
        <v>1076</v>
      </c>
      <c r="B14" s="204" t="s">
        <v>1370</v>
      </c>
      <c r="C14" s="198" t="s">
        <v>1183</v>
      </c>
      <c r="D14" s="199">
        <v>60000.0</v>
      </c>
      <c r="E14" s="200">
        <f t="shared" si="1"/>
        <v>69000</v>
      </c>
    </row>
    <row r="15" ht="22.5" customHeight="1">
      <c r="A15" s="201"/>
      <c r="B15" s="203"/>
      <c r="C15" s="198" t="s">
        <v>1184</v>
      </c>
      <c r="D15" s="199"/>
      <c r="E15" s="200">
        <f t="shared" si="1"/>
        <v>0</v>
      </c>
    </row>
    <row r="16" ht="22.5" customHeight="1">
      <c r="A16" s="201"/>
      <c r="B16" s="203"/>
      <c r="C16" s="198" t="s">
        <v>1186</v>
      </c>
      <c r="D16" s="199"/>
      <c r="E16" s="200">
        <f t="shared" si="1"/>
        <v>0</v>
      </c>
    </row>
    <row r="17" ht="22.5" customHeight="1">
      <c r="A17" s="211"/>
      <c r="B17" s="208"/>
      <c r="C17" s="198" t="s">
        <v>1260</v>
      </c>
      <c r="D17" s="199"/>
      <c r="E17" s="200">
        <f t="shared" si="1"/>
        <v>0</v>
      </c>
    </row>
    <row r="18" ht="22.5" customHeight="1">
      <c r="A18" s="196" t="s">
        <v>1076</v>
      </c>
      <c r="B18" s="204" t="s">
        <v>1371</v>
      </c>
      <c r="C18" s="198" t="s">
        <v>1183</v>
      </c>
      <c r="D18" s="199">
        <v>72000.0</v>
      </c>
      <c r="E18" s="200">
        <f t="shared" si="1"/>
        <v>82800</v>
      </c>
    </row>
    <row r="19" ht="22.5" customHeight="1">
      <c r="A19" s="201"/>
      <c r="B19" s="208" t="s">
        <v>1372</v>
      </c>
      <c r="C19" s="198" t="s">
        <v>1184</v>
      </c>
      <c r="D19" s="199"/>
      <c r="E19" s="200">
        <f t="shared" si="1"/>
        <v>0</v>
      </c>
    </row>
    <row r="20" ht="22.5" customHeight="1">
      <c r="A20" s="201"/>
      <c r="B20" s="203"/>
      <c r="C20" s="198" t="s">
        <v>1186</v>
      </c>
      <c r="D20" s="199"/>
      <c r="E20" s="200">
        <f t="shared" si="1"/>
        <v>0</v>
      </c>
    </row>
    <row r="21" ht="22.5" customHeight="1">
      <c r="A21" s="211"/>
      <c r="B21" s="208"/>
      <c r="C21" s="198" t="s">
        <v>1260</v>
      </c>
      <c r="D21" s="199"/>
      <c r="E21" s="200">
        <f t="shared" si="1"/>
        <v>0</v>
      </c>
    </row>
    <row r="22" ht="22.5" customHeight="1">
      <c r="A22" s="196" t="s">
        <v>1076</v>
      </c>
      <c r="B22" s="204" t="s">
        <v>1373</v>
      </c>
      <c r="C22" s="198" t="s">
        <v>1183</v>
      </c>
      <c r="D22" s="199">
        <v>90000.0</v>
      </c>
      <c r="E22" s="200">
        <f t="shared" si="1"/>
        <v>103500</v>
      </c>
    </row>
    <row r="23" ht="22.5" customHeight="1">
      <c r="A23" s="201"/>
      <c r="B23" s="203"/>
      <c r="C23" s="198" t="s">
        <v>1184</v>
      </c>
      <c r="D23" s="199">
        <v>55000.0</v>
      </c>
      <c r="E23" s="200">
        <f t="shared" si="1"/>
        <v>63250</v>
      </c>
    </row>
    <row r="24" ht="22.5" customHeight="1">
      <c r="A24" s="201"/>
      <c r="B24" s="203"/>
      <c r="C24" s="198" t="s">
        <v>1186</v>
      </c>
      <c r="D24" s="199"/>
      <c r="E24" s="200">
        <f t="shared" si="1"/>
        <v>0</v>
      </c>
    </row>
    <row r="25" ht="22.5" customHeight="1">
      <c r="A25" s="211"/>
      <c r="B25" s="208"/>
      <c r="C25" s="198" t="s">
        <v>1260</v>
      </c>
      <c r="D25" s="199"/>
      <c r="E25" s="200">
        <f t="shared" si="1"/>
        <v>0</v>
      </c>
    </row>
    <row r="26" ht="22.5" customHeight="1">
      <c r="A26" s="196" t="s">
        <v>1076</v>
      </c>
      <c r="B26" s="204" t="s">
        <v>1374</v>
      </c>
      <c r="C26" s="198" t="s">
        <v>1183</v>
      </c>
      <c r="D26" s="199">
        <v>75000.0</v>
      </c>
      <c r="E26" s="200">
        <f t="shared" si="1"/>
        <v>86250</v>
      </c>
    </row>
    <row r="27" ht="22.5" customHeight="1">
      <c r="A27" s="201"/>
      <c r="B27" s="203"/>
      <c r="C27" s="198" t="s">
        <v>1184</v>
      </c>
      <c r="D27" s="199">
        <v>55000.0</v>
      </c>
      <c r="E27" s="200">
        <f t="shared" si="1"/>
        <v>63250</v>
      </c>
    </row>
    <row r="28" ht="22.5" customHeight="1">
      <c r="A28" s="201"/>
      <c r="B28" s="203"/>
      <c r="C28" s="198" t="s">
        <v>1186</v>
      </c>
      <c r="D28" s="199"/>
      <c r="E28" s="200">
        <f t="shared" si="1"/>
        <v>0</v>
      </c>
    </row>
    <row r="29" ht="22.5" customHeight="1">
      <c r="A29" s="211"/>
      <c r="B29" s="208"/>
      <c r="C29" s="198" t="s">
        <v>1260</v>
      </c>
      <c r="D29" s="199"/>
      <c r="E29" s="200">
        <f t="shared" si="1"/>
        <v>0</v>
      </c>
    </row>
    <row r="30" ht="22.5" customHeight="1">
      <c r="A30" s="312" t="s">
        <v>1076</v>
      </c>
      <c r="B30" s="313" t="s">
        <v>1375</v>
      </c>
      <c r="C30" s="314" t="s">
        <v>1183</v>
      </c>
      <c r="D30" s="199">
        <v>70000.0</v>
      </c>
      <c r="E30" s="200">
        <f t="shared" si="1"/>
        <v>80500</v>
      </c>
    </row>
    <row r="31" ht="22.5" customHeight="1">
      <c r="A31" s="319"/>
      <c r="B31" s="236"/>
      <c r="C31" s="314" t="s">
        <v>1184</v>
      </c>
      <c r="D31" s="199"/>
      <c r="E31" s="200">
        <f t="shared" si="1"/>
        <v>0</v>
      </c>
    </row>
    <row r="32" ht="22.5" customHeight="1">
      <c r="A32" s="317"/>
      <c r="B32" s="231"/>
      <c r="C32" s="314" t="s">
        <v>1186</v>
      </c>
      <c r="D32" s="199"/>
      <c r="E32" s="200">
        <f t="shared" si="1"/>
        <v>0</v>
      </c>
    </row>
    <row r="33" ht="22.5" customHeight="1">
      <c r="A33" s="319"/>
      <c r="B33" s="236"/>
      <c r="C33" s="314" t="s">
        <v>1260</v>
      </c>
      <c r="D33" s="199"/>
      <c r="E33" s="200">
        <f t="shared" si="1"/>
        <v>0</v>
      </c>
    </row>
    <row r="34" ht="22.5" customHeight="1">
      <c r="A34" s="312" t="s">
        <v>1076</v>
      </c>
      <c r="B34" s="313" t="s">
        <v>1376</v>
      </c>
      <c r="C34" s="314" t="s">
        <v>1183</v>
      </c>
      <c r="D34" s="199">
        <v>75000.0</v>
      </c>
      <c r="E34" s="200">
        <f t="shared" si="1"/>
        <v>86250</v>
      </c>
    </row>
    <row r="35" ht="22.5" customHeight="1">
      <c r="A35" s="319"/>
      <c r="B35" s="236"/>
      <c r="C35" s="314" t="s">
        <v>1184</v>
      </c>
      <c r="D35" s="199"/>
      <c r="E35" s="200">
        <f t="shared" si="1"/>
        <v>0</v>
      </c>
    </row>
    <row r="36" ht="22.5" customHeight="1">
      <c r="A36" s="317"/>
      <c r="B36" s="231"/>
      <c r="C36" s="314" t="s">
        <v>1186</v>
      </c>
      <c r="D36" s="199"/>
      <c r="E36" s="200">
        <f t="shared" si="1"/>
        <v>0</v>
      </c>
    </row>
    <row r="37" ht="22.5" customHeight="1">
      <c r="A37" s="319"/>
      <c r="B37" s="236"/>
      <c r="C37" s="314" t="s">
        <v>1260</v>
      </c>
      <c r="D37" s="199"/>
      <c r="E37" s="200">
        <f t="shared" si="1"/>
        <v>0</v>
      </c>
    </row>
    <row r="38" ht="22.5" customHeight="1">
      <c r="A38" s="312" t="s">
        <v>1076</v>
      </c>
      <c r="B38" s="313" t="s">
        <v>1377</v>
      </c>
      <c r="C38" s="314" t="s">
        <v>1183</v>
      </c>
      <c r="D38" s="199">
        <v>75000.0</v>
      </c>
      <c r="E38" s="200">
        <f t="shared" si="1"/>
        <v>86250</v>
      </c>
    </row>
    <row r="39" ht="22.5" customHeight="1">
      <c r="A39" s="319"/>
      <c r="B39" s="320" t="s">
        <v>1378</v>
      </c>
      <c r="C39" s="314" t="s">
        <v>1184</v>
      </c>
      <c r="D39" s="199"/>
      <c r="E39" s="200">
        <f t="shared" si="1"/>
        <v>0</v>
      </c>
    </row>
    <row r="40" ht="22.5" customHeight="1">
      <c r="A40" s="317"/>
      <c r="B40" s="231"/>
      <c r="C40" s="314" t="s">
        <v>1186</v>
      </c>
      <c r="D40" s="199"/>
      <c r="E40" s="200">
        <f t="shared" si="1"/>
        <v>0</v>
      </c>
    </row>
    <row r="41" ht="22.5" customHeight="1">
      <c r="A41" s="319"/>
      <c r="B41" s="236"/>
      <c r="C41" s="314" t="s">
        <v>1260</v>
      </c>
      <c r="D41" s="199"/>
      <c r="E41" s="200">
        <f t="shared" si="1"/>
        <v>0</v>
      </c>
    </row>
    <row r="42" ht="22.5" customHeight="1">
      <c r="A42" s="196" t="s">
        <v>1076</v>
      </c>
      <c r="B42" s="204" t="s">
        <v>1379</v>
      </c>
      <c r="C42" s="198" t="s">
        <v>1183</v>
      </c>
      <c r="D42" s="199">
        <v>110000.0</v>
      </c>
      <c r="E42" s="200">
        <f t="shared" si="1"/>
        <v>126500</v>
      </c>
    </row>
    <row r="43" ht="22.5" customHeight="1">
      <c r="A43" s="201"/>
      <c r="B43" s="203"/>
      <c r="C43" s="198" t="s">
        <v>1184</v>
      </c>
      <c r="D43" s="199">
        <v>65000.0</v>
      </c>
      <c r="E43" s="200">
        <f t="shared" si="1"/>
        <v>74750</v>
      </c>
    </row>
    <row r="44" ht="22.5" customHeight="1">
      <c r="A44" s="201"/>
      <c r="B44" s="203"/>
      <c r="C44" s="198" t="s">
        <v>1186</v>
      </c>
      <c r="D44" s="199"/>
      <c r="E44" s="200">
        <f t="shared" si="1"/>
        <v>0</v>
      </c>
    </row>
    <row r="45" ht="22.5" customHeight="1">
      <c r="A45" s="211"/>
      <c r="B45" s="208"/>
      <c r="C45" s="198" t="s">
        <v>1260</v>
      </c>
      <c r="D45" s="199"/>
      <c r="E45" s="200">
        <f t="shared" si="1"/>
        <v>0</v>
      </c>
    </row>
    <row r="46" ht="22.5" customHeight="1">
      <c r="A46" s="196" t="s">
        <v>1076</v>
      </c>
      <c r="B46" s="204" t="s">
        <v>1380</v>
      </c>
      <c r="C46" s="198" t="s">
        <v>1183</v>
      </c>
      <c r="D46" s="199">
        <v>215000.0</v>
      </c>
      <c r="E46" s="200">
        <f t="shared" si="1"/>
        <v>247250</v>
      </c>
    </row>
    <row r="47" ht="22.5" customHeight="1">
      <c r="A47" s="201"/>
      <c r="B47" s="203"/>
      <c r="C47" s="198" t="s">
        <v>1184</v>
      </c>
      <c r="D47" s="199">
        <v>80000.0</v>
      </c>
      <c r="E47" s="200">
        <f t="shared" si="1"/>
        <v>92000</v>
      </c>
    </row>
    <row r="48" ht="22.5" customHeight="1">
      <c r="A48" s="201"/>
      <c r="B48" s="203"/>
      <c r="C48" s="198" t="s">
        <v>1186</v>
      </c>
      <c r="D48" s="199"/>
      <c r="E48" s="200">
        <f t="shared" si="1"/>
        <v>0</v>
      </c>
    </row>
    <row r="49" ht="22.5" customHeight="1">
      <c r="A49" s="211"/>
      <c r="B49" s="208"/>
      <c r="C49" s="198" t="s">
        <v>1260</v>
      </c>
      <c r="D49" s="199"/>
      <c r="E49" s="200">
        <f t="shared" si="1"/>
        <v>0</v>
      </c>
    </row>
    <row r="50" ht="22.5" customHeight="1">
      <c r="A50" s="196" t="s">
        <v>1076</v>
      </c>
      <c r="B50" s="204" t="s">
        <v>1381</v>
      </c>
      <c r="C50" s="198" t="s">
        <v>1183</v>
      </c>
      <c r="D50" s="199">
        <v>150000.0</v>
      </c>
      <c r="E50" s="200">
        <f t="shared" si="1"/>
        <v>172500</v>
      </c>
    </row>
    <row r="51" ht="22.5" customHeight="1">
      <c r="A51" s="201"/>
      <c r="B51" s="203"/>
      <c r="C51" s="198" t="s">
        <v>1184</v>
      </c>
      <c r="D51" s="199">
        <v>80000.0</v>
      </c>
      <c r="E51" s="200">
        <f t="shared" si="1"/>
        <v>92000</v>
      </c>
    </row>
    <row r="52" ht="22.5" customHeight="1">
      <c r="A52" s="201"/>
      <c r="B52" s="203"/>
      <c r="C52" s="198" t="s">
        <v>1186</v>
      </c>
      <c r="D52" s="199"/>
      <c r="E52" s="200">
        <f t="shared" si="1"/>
        <v>0</v>
      </c>
    </row>
    <row r="53" ht="22.5" customHeight="1">
      <c r="A53" s="211"/>
      <c r="B53" s="208"/>
      <c r="C53" s="198" t="s">
        <v>1260</v>
      </c>
      <c r="D53" s="199"/>
      <c r="E53" s="200">
        <f t="shared" si="1"/>
        <v>0</v>
      </c>
    </row>
    <row r="54" ht="22.5" customHeight="1">
      <c r="A54" s="196" t="s">
        <v>1076</v>
      </c>
      <c r="B54" s="204" t="s">
        <v>1382</v>
      </c>
      <c r="C54" s="198" t="s">
        <v>1183</v>
      </c>
      <c r="D54" s="199">
        <v>71000.0</v>
      </c>
      <c r="E54" s="200">
        <f t="shared" si="1"/>
        <v>81650</v>
      </c>
    </row>
    <row r="55" ht="22.5" customHeight="1">
      <c r="A55" s="201"/>
      <c r="B55" s="203"/>
      <c r="C55" s="198" t="s">
        <v>1184</v>
      </c>
      <c r="D55" s="199"/>
      <c r="E55" s="200">
        <f t="shared" si="1"/>
        <v>0</v>
      </c>
    </row>
    <row r="56" ht="22.5" customHeight="1">
      <c r="A56" s="201"/>
      <c r="B56" s="203"/>
      <c r="C56" s="198" t="s">
        <v>1186</v>
      </c>
      <c r="D56" s="199"/>
      <c r="E56" s="200">
        <f t="shared" si="1"/>
        <v>0</v>
      </c>
    </row>
    <row r="57" ht="22.5" customHeight="1">
      <c r="A57" s="211"/>
      <c r="B57" s="208"/>
      <c r="C57" s="198" t="s">
        <v>1260</v>
      </c>
      <c r="D57" s="199"/>
      <c r="E57" s="200">
        <f t="shared" si="1"/>
        <v>0</v>
      </c>
    </row>
    <row r="58" ht="22.5" customHeight="1">
      <c r="A58" s="312" t="s">
        <v>1076</v>
      </c>
      <c r="B58" s="313" t="s">
        <v>1383</v>
      </c>
      <c r="C58" s="314" t="s">
        <v>1183</v>
      </c>
      <c r="D58" s="199">
        <v>75000.0</v>
      </c>
      <c r="E58" s="200">
        <f t="shared" si="1"/>
        <v>86250</v>
      </c>
    </row>
    <row r="59" ht="22.5" customHeight="1">
      <c r="A59" s="319"/>
      <c r="B59" s="320" t="s">
        <v>1384</v>
      </c>
      <c r="C59" s="314" t="s">
        <v>1184</v>
      </c>
      <c r="D59" s="199"/>
      <c r="E59" s="200">
        <f t="shared" si="1"/>
        <v>0</v>
      </c>
    </row>
    <row r="60" ht="22.5" customHeight="1">
      <c r="A60" s="317"/>
      <c r="B60" s="320"/>
      <c r="C60" s="314" t="s">
        <v>1186</v>
      </c>
      <c r="D60" s="199"/>
      <c r="E60" s="200">
        <f t="shared" si="1"/>
        <v>0</v>
      </c>
    </row>
    <row r="61" ht="22.5" customHeight="1">
      <c r="A61" s="319"/>
      <c r="B61" s="321"/>
      <c r="C61" s="314" t="s">
        <v>1260</v>
      </c>
      <c r="D61" s="199"/>
      <c r="E61" s="200">
        <f t="shared" si="1"/>
        <v>0</v>
      </c>
    </row>
    <row r="62" ht="22.5" customHeight="1">
      <c r="A62" s="312" t="s">
        <v>1076</v>
      </c>
      <c r="B62" s="313" t="s">
        <v>1385</v>
      </c>
      <c r="C62" s="314" t="s">
        <v>1183</v>
      </c>
      <c r="D62" s="199">
        <v>75000.0</v>
      </c>
      <c r="E62" s="200">
        <f t="shared" si="1"/>
        <v>86250</v>
      </c>
    </row>
    <row r="63" ht="22.5" customHeight="1">
      <c r="A63" s="319"/>
      <c r="B63" s="320" t="s">
        <v>1386</v>
      </c>
      <c r="C63" s="314" t="s">
        <v>1184</v>
      </c>
      <c r="D63" s="199"/>
      <c r="E63" s="200">
        <f t="shared" si="1"/>
        <v>0</v>
      </c>
    </row>
    <row r="64" ht="22.5" customHeight="1">
      <c r="A64" s="317"/>
      <c r="B64" s="320"/>
      <c r="C64" s="314" t="s">
        <v>1186</v>
      </c>
      <c r="D64" s="199"/>
      <c r="E64" s="200">
        <f t="shared" si="1"/>
        <v>0</v>
      </c>
    </row>
    <row r="65" ht="22.5" customHeight="1">
      <c r="A65" s="319"/>
      <c r="B65" s="321"/>
      <c r="C65" s="314" t="s">
        <v>1260</v>
      </c>
      <c r="D65" s="199"/>
      <c r="E65" s="200">
        <f t="shared" si="1"/>
        <v>0</v>
      </c>
    </row>
    <row r="66" ht="22.5" customHeight="1">
      <c r="A66" s="312" t="s">
        <v>1076</v>
      </c>
      <c r="B66" s="313" t="s">
        <v>1387</v>
      </c>
      <c r="C66" s="314" t="s">
        <v>1183</v>
      </c>
      <c r="D66" s="199">
        <v>72000.0</v>
      </c>
      <c r="E66" s="200">
        <f t="shared" si="1"/>
        <v>82800</v>
      </c>
    </row>
    <row r="67" ht="22.5" customHeight="1">
      <c r="A67" s="319"/>
      <c r="B67" s="321"/>
      <c r="C67" s="314" t="s">
        <v>1184</v>
      </c>
      <c r="D67" s="199"/>
      <c r="E67" s="200">
        <f t="shared" si="1"/>
        <v>0</v>
      </c>
    </row>
    <row r="68" ht="22.5" customHeight="1">
      <c r="A68" s="317"/>
      <c r="B68" s="322"/>
      <c r="C68" s="314" t="s">
        <v>1186</v>
      </c>
      <c r="D68" s="199"/>
      <c r="E68" s="200">
        <f t="shared" si="1"/>
        <v>0</v>
      </c>
    </row>
    <row r="69" ht="22.5" customHeight="1">
      <c r="A69" s="319"/>
      <c r="B69" s="321"/>
      <c r="C69" s="314" t="s">
        <v>1260</v>
      </c>
      <c r="D69" s="199"/>
      <c r="E69" s="200">
        <f t="shared" si="1"/>
        <v>0</v>
      </c>
    </row>
    <row r="70" ht="22.5" customHeight="1">
      <c r="A70" s="312" t="s">
        <v>1076</v>
      </c>
      <c r="B70" s="313" t="s">
        <v>1388</v>
      </c>
      <c r="C70" s="314" t="s">
        <v>1183</v>
      </c>
      <c r="D70" s="199">
        <v>75000.0</v>
      </c>
      <c r="E70" s="200">
        <f t="shared" si="1"/>
        <v>86250</v>
      </c>
    </row>
    <row r="71" ht="22.5" customHeight="1">
      <c r="A71" s="319"/>
      <c r="B71" s="320" t="s">
        <v>1389</v>
      </c>
      <c r="C71" s="314" t="s">
        <v>1184</v>
      </c>
      <c r="D71" s="199"/>
      <c r="E71" s="200">
        <f t="shared" si="1"/>
        <v>0</v>
      </c>
    </row>
    <row r="72" ht="22.5" customHeight="1">
      <c r="A72" s="317"/>
      <c r="B72" s="322"/>
      <c r="C72" s="314" t="s">
        <v>1186</v>
      </c>
      <c r="D72" s="199"/>
      <c r="E72" s="200">
        <f t="shared" si="1"/>
        <v>0</v>
      </c>
    </row>
    <row r="73" ht="22.5" customHeight="1">
      <c r="A73" s="319"/>
      <c r="B73" s="321"/>
      <c r="C73" s="314" t="s">
        <v>1260</v>
      </c>
      <c r="D73" s="199"/>
      <c r="E73" s="200">
        <f t="shared" si="1"/>
        <v>0</v>
      </c>
    </row>
    <row r="74" ht="22.5" customHeight="1">
      <c r="A74" s="196" t="s">
        <v>1076</v>
      </c>
      <c r="B74" s="204" t="s">
        <v>1390</v>
      </c>
      <c r="C74" s="198" t="s">
        <v>1183</v>
      </c>
      <c r="D74" s="199">
        <v>75000.0</v>
      </c>
      <c r="E74" s="200">
        <f t="shared" si="1"/>
        <v>86250</v>
      </c>
    </row>
    <row r="75" ht="22.5" customHeight="1">
      <c r="A75" s="201"/>
      <c r="B75" s="208" t="s">
        <v>1391</v>
      </c>
      <c r="C75" s="198" t="s">
        <v>1184</v>
      </c>
      <c r="D75" s="199">
        <v>60000.0</v>
      </c>
      <c r="E75" s="200">
        <f t="shared" si="1"/>
        <v>69000</v>
      </c>
    </row>
    <row r="76" ht="22.5" customHeight="1">
      <c r="A76" s="201"/>
      <c r="B76" s="208" t="s">
        <v>1392</v>
      </c>
      <c r="C76" s="198" t="s">
        <v>1186</v>
      </c>
      <c r="D76" s="199"/>
      <c r="E76" s="200">
        <f t="shared" si="1"/>
        <v>0</v>
      </c>
    </row>
    <row r="77" ht="22.5" customHeight="1">
      <c r="A77" s="211"/>
      <c r="B77" s="208"/>
      <c r="C77" s="198" t="s">
        <v>1260</v>
      </c>
      <c r="D77" s="199"/>
      <c r="E77" s="200">
        <f t="shared" si="1"/>
        <v>0</v>
      </c>
    </row>
    <row r="78" ht="22.5" customHeight="1">
      <c r="A78" s="196" t="s">
        <v>1076</v>
      </c>
      <c r="B78" s="204" t="s">
        <v>1393</v>
      </c>
      <c r="C78" s="198" t="s">
        <v>1183</v>
      </c>
      <c r="D78" s="199">
        <v>110000.0</v>
      </c>
      <c r="E78" s="200">
        <f t="shared" si="1"/>
        <v>126500</v>
      </c>
    </row>
    <row r="79" ht="22.5" customHeight="1">
      <c r="A79" s="201"/>
      <c r="B79" s="208" t="s">
        <v>1394</v>
      </c>
      <c r="C79" s="198" t="s">
        <v>1184</v>
      </c>
      <c r="D79" s="199">
        <v>65000.0</v>
      </c>
      <c r="E79" s="200">
        <f t="shared" si="1"/>
        <v>74750</v>
      </c>
    </row>
    <row r="80" ht="22.5" customHeight="1">
      <c r="A80" s="201"/>
      <c r="B80" s="203"/>
      <c r="C80" s="198" t="s">
        <v>1186</v>
      </c>
      <c r="D80" s="199"/>
      <c r="E80" s="200">
        <f t="shared" si="1"/>
        <v>0</v>
      </c>
    </row>
    <row r="81" ht="22.5" customHeight="1">
      <c r="A81" s="211"/>
      <c r="B81" s="208"/>
      <c r="C81" s="198" t="s">
        <v>1260</v>
      </c>
      <c r="D81" s="199"/>
      <c r="E81" s="200">
        <f t="shared" si="1"/>
        <v>0</v>
      </c>
    </row>
    <row r="82" ht="22.5" customHeight="1">
      <c r="A82" s="196" t="s">
        <v>1076</v>
      </c>
      <c r="B82" s="204" t="s">
        <v>1395</v>
      </c>
      <c r="C82" s="198" t="s">
        <v>1183</v>
      </c>
      <c r="D82" s="199">
        <v>75000.0</v>
      </c>
      <c r="E82" s="200">
        <f t="shared" si="1"/>
        <v>86250</v>
      </c>
    </row>
    <row r="83" ht="22.5" customHeight="1">
      <c r="A83" s="201"/>
      <c r="B83" s="203"/>
      <c r="C83" s="198" t="s">
        <v>1184</v>
      </c>
      <c r="D83" s="199">
        <v>60000.0</v>
      </c>
      <c r="E83" s="200">
        <f t="shared" si="1"/>
        <v>69000</v>
      </c>
    </row>
    <row r="84" ht="22.5" customHeight="1">
      <c r="A84" s="201"/>
      <c r="B84" s="203"/>
      <c r="C84" s="198" t="s">
        <v>1186</v>
      </c>
      <c r="D84" s="199"/>
      <c r="E84" s="200">
        <f t="shared" si="1"/>
        <v>0</v>
      </c>
    </row>
    <row r="85" ht="22.5" customHeight="1">
      <c r="A85" s="211"/>
      <c r="B85" s="208"/>
      <c r="C85" s="198" t="s">
        <v>1260</v>
      </c>
      <c r="D85" s="199"/>
      <c r="E85" s="200">
        <f t="shared" si="1"/>
        <v>0</v>
      </c>
    </row>
    <row r="86" ht="22.5" customHeight="1">
      <c r="A86" s="196" t="s">
        <v>1076</v>
      </c>
      <c r="B86" s="204" t="s">
        <v>1396</v>
      </c>
      <c r="C86" s="198" t="s">
        <v>1205</v>
      </c>
      <c r="D86" s="199">
        <v>82000.0</v>
      </c>
      <c r="E86" s="200">
        <f t="shared" si="1"/>
        <v>94300</v>
      </c>
    </row>
    <row r="87" ht="22.5" customHeight="1">
      <c r="A87" s="201"/>
      <c r="B87" s="203"/>
      <c r="C87" s="198" t="s">
        <v>1184</v>
      </c>
      <c r="D87" s="199">
        <v>60000.0</v>
      </c>
      <c r="E87" s="200">
        <f t="shared" si="1"/>
        <v>69000</v>
      </c>
    </row>
    <row r="88" ht="22.5" customHeight="1">
      <c r="A88" s="201"/>
      <c r="B88" s="203"/>
      <c r="C88" s="198" t="s">
        <v>1186</v>
      </c>
      <c r="D88" s="199"/>
      <c r="E88" s="200">
        <f t="shared" si="1"/>
        <v>0</v>
      </c>
    </row>
    <row r="89" ht="22.5" customHeight="1">
      <c r="A89" s="211"/>
      <c r="B89" s="208"/>
      <c r="C89" s="198" t="s">
        <v>1260</v>
      </c>
      <c r="D89" s="199"/>
      <c r="E89" s="200">
        <f t="shared" si="1"/>
        <v>0</v>
      </c>
    </row>
    <row r="90" ht="22.5" customHeight="1">
      <c r="A90" s="196" t="s">
        <v>1076</v>
      </c>
      <c r="B90" s="204" t="s">
        <v>1397</v>
      </c>
      <c r="C90" s="198" t="s">
        <v>1183</v>
      </c>
      <c r="D90" s="199">
        <v>70000.0</v>
      </c>
      <c r="E90" s="200">
        <f t="shared" si="1"/>
        <v>80500</v>
      </c>
    </row>
    <row r="91" ht="22.5" customHeight="1">
      <c r="A91" s="201"/>
      <c r="B91" s="203"/>
      <c r="C91" s="198" t="s">
        <v>1184</v>
      </c>
      <c r="D91" s="199">
        <v>60000.0</v>
      </c>
      <c r="E91" s="200">
        <f t="shared" si="1"/>
        <v>69000</v>
      </c>
    </row>
    <row r="92" ht="22.5" customHeight="1">
      <c r="A92" s="201"/>
      <c r="B92" s="203"/>
      <c r="C92" s="198" t="s">
        <v>1186</v>
      </c>
      <c r="D92" s="199"/>
      <c r="E92" s="200">
        <f t="shared" si="1"/>
        <v>0</v>
      </c>
    </row>
    <row r="93" ht="22.5" customHeight="1">
      <c r="A93" s="211"/>
      <c r="B93" s="208"/>
      <c r="C93" s="198" t="s">
        <v>1260</v>
      </c>
      <c r="D93" s="199"/>
      <c r="E93" s="200">
        <f t="shared" si="1"/>
        <v>0</v>
      </c>
    </row>
    <row r="94" ht="22.5" customHeight="1">
      <c r="A94" s="196" t="s">
        <v>1076</v>
      </c>
      <c r="B94" s="204" t="s">
        <v>1398</v>
      </c>
      <c r="C94" s="198" t="s">
        <v>1183</v>
      </c>
      <c r="D94" s="199">
        <v>70000.0</v>
      </c>
      <c r="E94" s="200">
        <f t="shared" si="1"/>
        <v>80500</v>
      </c>
    </row>
    <row r="95" ht="22.5" customHeight="1">
      <c r="A95" s="201"/>
      <c r="B95" s="203"/>
      <c r="C95" s="198" t="s">
        <v>1184</v>
      </c>
      <c r="D95" s="205"/>
      <c r="E95" s="200">
        <f t="shared" si="1"/>
        <v>0</v>
      </c>
    </row>
    <row r="96" ht="22.5" customHeight="1">
      <c r="A96" s="201"/>
      <c r="B96" s="203"/>
      <c r="C96" s="198" t="s">
        <v>1186</v>
      </c>
      <c r="D96" s="199"/>
      <c r="E96" s="200">
        <f t="shared" si="1"/>
        <v>0</v>
      </c>
    </row>
    <row r="97" ht="22.5" customHeight="1">
      <c r="A97" s="211"/>
      <c r="B97" s="208"/>
      <c r="C97" s="198" t="s">
        <v>1260</v>
      </c>
      <c r="D97" s="199"/>
      <c r="E97" s="200">
        <f t="shared" si="1"/>
        <v>0</v>
      </c>
    </row>
    <row r="98" ht="22.5" customHeight="1">
      <c r="A98" s="196" t="s">
        <v>1076</v>
      </c>
      <c r="B98" s="204" t="s">
        <v>1399</v>
      </c>
      <c r="C98" s="198" t="s">
        <v>1205</v>
      </c>
      <c r="D98" s="199">
        <v>87500.0</v>
      </c>
      <c r="E98" s="200">
        <f t="shared" si="1"/>
        <v>100625</v>
      </c>
    </row>
    <row r="99" ht="22.5" customHeight="1">
      <c r="A99" s="201"/>
      <c r="B99" s="203"/>
      <c r="C99" s="198" t="s">
        <v>1184</v>
      </c>
      <c r="D99" s="205"/>
      <c r="E99" s="200">
        <f t="shared" si="1"/>
        <v>0</v>
      </c>
    </row>
    <row r="100" ht="22.5" customHeight="1">
      <c r="A100" s="201"/>
      <c r="B100" s="203"/>
      <c r="C100" s="198" t="s">
        <v>1186</v>
      </c>
      <c r="D100" s="199"/>
      <c r="E100" s="200">
        <f t="shared" si="1"/>
        <v>0</v>
      </c>
    </row>
    <row r="101" ht="22.5" customHeight="1">
      <c r="A101" s="211"/>
      <c r="B101" s="208"/>
      <c r="C101" s="198" t="s">
        <v>1260</v>
      </c>
      <c r="D101" s="199"/>
      <c r="E101" s="200">
        <f t="shared" si="1"/>
        <v>0</v>
      </c>
    </row>
    <row r="102" ht="22.5" customHeight="1">
      <c r="A102" s="196" t="s">
        <v>1076</v>
      </c>
      <c r="B102" s="204" t="s">
        <v>1400</v>
      </c>
      <c r="C102" s="198" t="s">
        <v>1183</v>
      </c>
      <c r="D102" s="199">
        <v>144000.0</v>
      </c>
      <c r="E102" s="200">
        <f t="shared" si="1"/>
        <v>165600</v>
      </c>
    </row>
    <row r="103" ht="22.5" customHeight="1">
      <c r="A103" s="201"/>
      <c r="B103" s="208"/>
      <c r="C103" s="198" t="s">
        <v>1184</v>
      </c>
      <c r="D103" s="205"/>
      <c r="E103" s="200">
        <f t="shared" si="1"/>
        <v>0</v>
      </c>
    </row>
    <row r="104" ht="22.5" customHeight="1">
      <c r="A104" s="201"/>
      <c r="B104" s="203"/>
      <c r="C104" s="198" t="s">
        <v>1186</v>
      </c>
      <c r="D104" s="199"/>
      <c r="E104" s="200">
        <f t="shared" si="1"/>
        <v>0</v>
      </c>
    </row>
    <row r="105" ht="22.5" customHeight="1">
      <c r="A105" s="211"/>
      <c r="B105" s="208"/>
      <c r="C105" s="198" t="s">
        <v>1260</v>
      </c>
      <c r="D105" s="199"/>
      <c r="E105" s="200">
        <f t="shared" si="1"/>
        <v>0</v>
      </c>
    </row>
    <row r="106" ht="22.5" customHeight="1">
      <c r="A106" s="196" t="s">
        <v>1076</v>
      </c>
      <c r="B106" s="204" t="s">
        <v>1401</v>
      </c>
      <c r="C106" s="198" t="s">
        <v>1183</v>
      </c>
      <c r="D106" s="199">
        <v>114000.0</v>
      </c>
      <c r="E106" s="200">
        <f t="shared" si="1"/>
        <v>131100</v>
      </c>
    </row>
    <row r="107" ht="22.5" customHeight="1">
      <c r="A107" s="201"/>
      <c r="B107" s="208" t="s">
        <v>1402</v>
      </c>
      <c r="C107" s="198" t="s">
        <v>1205</v>
      </c>
      <c r="D107" s="199">
        <v>82000.0</v>
      </c>
      <c r="E107" s="200">
        <f t="shared" si="1"/>
        <v>94300</v>
      </c>
    </row>
    <row r="108" ht="22.5" customHeight="1">
      <c r="A108" s="201"/>
      <c r="B108" s="208" t="s">
        <v>1403</v>
      </c>
      <c r="C108" s="198" t="s">
        <v>1184</v>
      </c>
      <c r="D108" s="205"/>
      <c r="E108" s="200">
        <f t="shared" si="1"/>
        <v>0</v>
      </c>
    </row>
    <row r="109" ht="22.5" customHeight="1">
      <c r="A109" s="201"/>
      <c r="B109" s="203"/>
      <c r="C109" s="198" t="s">
        <v>1186</v>
      </c>
      <c r="D109" s="199"/>
      <c r="E109" s="200">
        <f t="shared" si="1"/>
        <v>0</v>
      </c>
    </row>
    <row r="110" ht="22.5" customHeight="1">
      <c r="A110" s="211"/>
      <c r="B110" s="208"/>
      <c r="C110" s="198" t="s">
        <v>1260</v>
      </c>
      <c r="D110" s="199"/>
      <c r="E110" s="200">
        <f t="shared" si="1"/>
        <v>0</v>
      </c>
    </row>
    <row r="111" ht="22.5" customHeight="1">
      <c r="A111" s="196" t="s">
        <v>1076</v>
      </c>
      <c r="B111" s="204" t="s">
        <v>1404</v>
      </c>
      <c r="C111" s="198" t="s">
        <v>1183</v>
      </c>
      <c r="D111" s="199">
        <v>75000.0</v>
      </c>
      <c r="E111" s="200">
        <f t="shared" si="1"/>
        <v>86250</v>
      </c>
    </row>
    <row r="112" ht="22.5" customHeight="1">
      <c r="A112" s="201"/>
      <c r="B112" s="208" t="s">
        <v>1405</v>
      </c>
      <c r="C112" s="198" t="s">
        <v>1184</v>
      </c>
      <c r="D112" s="205"/>
      <c r="E112" s="200">
        <f t="shared" si="1"/>
        <v>0</v>
      </c>
    </row>
    <row r="113" ht="22.5" customHeight="1">
      <c r="A113" s="201"/>
      <c r="B113" s="203"/>
      <c r="C113" s="198" t="s">
        <v>1186</v>
      </c>
      <c r="D113" s="199"/>
      <c r="E113" s="200">
        <f t="shared" si="1"/>
        <v>0</v>
      </c>
    </row>
    <row r="114" ht="22.5" customHeight="1">
      <c r="A114" s="211"/>
      <c r="B114" s="208"/>
      <c r="C114" s="198" t="s">
        <v>1260</v>
      </c>
      <c r="D114" s="199"/>
      <c r="E114" s="200">
        <f t="shared" si="1"/>
        <v>0</v>
      </c>
    </row>
    <row r="115" ht="22.5" customHeight="1">
      <c r="A115" s="196" t="s">
        <v>1076</v>
      </c>
      <c r="B115" s="204" t="s">
        <v>1406</v>
      </c>
      <c r="C115" s="198" t="s">
        <v>1183</v>
      </c>
      <c r="D115" s="205"/>
      <c r="E115" s="200">
        <f t="shared" si="1"/>
        <v>0</v>
      </c>
    </row>
    <row r="116" ht="22.5" customHeight="1">
      <c r="A116" s="201"/>
      <c r="B116" s="208"/>
      <c r="C116" s="198" t="s">
        <v>1184</v>
      </c>
      <c r="D116" s="199">
        <v>60000.0</v>
      </c>
      <c r="E116" s="200">
        <f t="shared" si="1"/>
        <v>69000</v>
      </c>
    </row>
    <row r="117" ht="22.5" customHeight="1">
      <c r="A117" s="201"/>
      <c r="B117" s="203"/>
      <c r="C117" s="198" t="s">
        <v>1186</v>
      </c>
      <c r="D117" s="199"/>
      <c r="E117" s="200">
        <f t="shared" si="1"/>
        <v>0</v>
      </c>
    </row>
    <row r="118" ht="22.5" customHeight="1">
      <c r="A118" s="211"/>
      <c r="B118" s="208"/>
      <c r="C118" s="212" t="s">
        <v>1260</v>
      </c>
      <c r="D118" s="199"/>
      <c r="E118" s="200">
        <f t="shared" si="1"/>
        <v>0</v>
      </c>
    </row>
    <row r="119" ht="22.5" customHeight="1">
      <c r="A119" s="196" t="s">
        <v>1076</v>
      </c>
      <c r="B119" s="204" t="s">
        <v>1407</v>
      </c>
      <c r="C119" s="198" t="s">
        <v>1183</v>
      </c>
      <c r="D119" s="199">
        <v>183000.0</v>
      </c>
      <c r="E119" s="200">
        <f t="shared" si="1"/>
        <v>210450</v>
      </c>
    </row>
    <row r="120" ht="22.5" customHeight="1">
      <c r="A120" s="201"/>
      <c r="B120" s="208"/>
      <c r="C120" s="198" t="s">
        <v>1184</v>
      </c>
      <c r="D120" s="205"/>
      <c r="E120" s="200">
        <f t="shared" si="1"/>
        <v>0</v>
      </c>
    </row>
    <row r="121" ht="22.5" customHeight="1">
      <c r="A121" s="201"/>
      <c r="B121" s="203"/>
      <c r="C121" s="198" t="s">
        <v>1186</v>
      </c>
      <c r="D121" s="199"/>
      <c r="E121" s="200">
        <f t="shared" si="1"/>
        <v>0</v>
      </c>
    </row>
    <row r="122" ht="22.5" customHeight="1">
      <c r="A122" s="211"/>
      <c r="B122" s="208"/>
      <c r="C122" s="212" t="s">
        <v>1260</v>
      </c>
      <c r="D122" s="199"/>
      <c r="E122" s="200">
        <f t="shared" si="1"/>
        <v>0</v>
      </c>
    </row>
    <row r="123" ht="22.5" customHeight="1">
      <c r="A123" s="196" t="s">
        <v>1076</v>
      </c>
      <c r="B123" s="204" t="s">
        <v>1408</v>
      </c>
      <c r="C123" s="207" t="s">
        <v>1183</v>
      </c>
      <c r="D123" s="199">
        <v>140000.0</v>
      </c>
      <c r="E123" s="200">
        <f t="shared" si="1"/>
        <v>161000</v>
      </c>
    </row>
    <row r="124" ht="22.5" customHeight="1">
      <c r="A124" s="201"/>
      <c r="B124" s="208" t="s">
        <v>1409</v>
      </c>
      <c r="C124" s="209" t="s">
        <v>1184</v>
      </c>
      <c r="D124" s="205"/>
      <c r="E124" s="200">
        <f t="shared" si="1"/>
        <v>0</v>
      </c>
    </row>
    <row r="125" ht="22.5" customHeight="1">
      <c r="A125" s="201"/>
      <c r="B125" s="208"/>
      <c r="C125" s="209" t="s">
        <v>1186</v>
      </c>
      <c r="D125" s="199"/>
      <c r="E125" s="200">
        <f t="shared" si="1"/>
        <v>0</v>
      </c>
    </row>
    <row r="126" ht="22.5" customHeight="1">
      <c r="A126" s="211"/>
      <c r="B126" s="208"/>
      <c r="C126" s="212" t="s">
        <v>1260</v>
      </c>
      <c r="D126" s="199"/>
      <c r="E126" s="200">
        <f t="shared" si="1"/>
        <v>0</v>
      </c>
    </row>
    <row r="127" ht="22.5" customHeight="1">
      <c r="A127" s="196" t="s">
        <v>1076</v>
      </c>
      <c r="B127" s="204" t="s">
        <v>1410</v>
      </c>
      <c r="C127" s="212" t="s">
        <v>1205</v>
      </c>
      <c r="D127" s="199">
        <v>82000.0</v>
      </c>
      <c r="E127" s="200">
        <f t="shared" si="1"/>
        <v>94300</v>
      </c>
    </row>
    <row r="128" ht="22.5" customHeight="1">
      <c r="A128" s="201"/>
      <c r="B128" s="208"/>
      <c r="C128" s="209" t="s">
        <v>1184</v>
      </c>
      <c r="D128" s="205"/>
      <c r="E128" s="200">
        <f t="shared" si="1"/>
        <v>0</v>
      </c>
    </row>
    <row r="129" ht="22.5" customHeight="1">
      <c r="A129" s="201"/>
      <c r="B129" s="208"/>
      <c r="C129" s="209" t="s">
        <v>1186</v>
      </c>
      <c r="D129" s="199"/>
      <c r="E129" s="200">
        <f t="shared" si="1"/>
        <v>0</v>
      </c>
    </row>
    <row r="130" ht="22.5" customHeight="1">
      <c r="A130" s="211"/>
      <c r="B130" s="208"/>
      <c r="C130" s="212" t="s">
        <v>1260</v>
      </c>
      <c r="D130" s="199"/>
      <c r="E130" s="200">
        <f t="shared" si="1"/>
        <v>0</v>
      </c>
    </row>
    <row r="131" ht="22.5" customHeight="1">
      <c r="A131" s="196" t="s">
        <v>1076</v>
      </c>
      <c r="B131" s="204" t="s">
        <v>1411</v>
      </c>
      <c r="C131" s="207" t="s">
        <v>1183</v>
      </c>
      <c r="D131" s="199">
        <v>78000.0</v>
      </c>
      <c r="E131" s="200">
        <f t="shared" si="1"/>
        <v>89700</v>
      </c>
    </row>
    <row r="132" ht="22.5" customHeight="1">
      <c r="A132" s="201"/>
      <c r="B132" s="208"/>
      <c r="C132" s="209" t="s">
        <v>1184</v>
      </c>
      <c r="D132" s="205"/>
      <c r="E132" s="200">
        <f t="shared" si="1"/>
        <v>0</v>
      </c>
    </row>
    <row r="133" ht="22.5" customHeight="1">
      <c r="A133" s="201"/>
      <c r="B133" s="208"/>
      <c r="C133" s="210" t="s">
        <v>1186</v>
      </c>
      <c r="D133" s="199"/>
      <c r="E133" s="200">
        <f t="shared" si="1"/>
        <v>0</v>
      </c>
    </row>
    <row r="134" ht="22.5" customHeight="1">
      <c r="A134" s="211"/>
      <c r="B134" s="208"/>
      <c r="C134" s="212" t="s">
        <v>1260</v>
      </c>
      <c r="D134" s="199"/>
      <c r="E134" s="200">
        <f t="shared" si="1"/>
        <v>0</v>
      </c>
    </row>
    <row r="135" ht="22.5" customHeight="1">
      <c r="A135" s="196" t="s">
        <v>1076</v>
      </c>
      <c r="B135" s="204" t="s">
        <v>1412</v>
      </c>
      <c r="C135" s="207" t="s">
        <v>1183</v>
      </c>
      <c r="D135" s="199">
        <v>75000.0</v>
      </c>
      <c r="E135" s="200">
        <f t="shared" si="1"/>
        <v>86250</v>
      </c>
    </row>
    <row r="136" ht="22.5" customHeight="1">
      <c r="A136" s="201"/>
      <c r="B136" s="208"/>
      <c r="C136" s="209" t="s">
        <v>1184</v>
      </c>
      <c r="D136" s="199">
        <v>65000.0</v>
      </c>
      <c r="E136" s="200">
        <f t="shared" si="1"/>
        <v>74750</v>
      </c>
    </row>
    <row r="137" ht="22.5" customHeight="1">
      <c r="A137" s="201"/>
      <c r="B137" s="208"/>
      <c r="C137" s="209" t="s">
        <v>1186</v>
      </c>
      <c r="D137" s="199"/>
      <c r="E137" s="200">
        <f t="shared" si="1"/>
        <v>0</v>
      </c>
    </row>
    <row r="138" ht="22.5" customHeight="1">
      <c r="A138" s="211"/>
      <c r="B138" s="208"/>
      <c r="C138" s="212" t="s">
        <v>1260</v>
      </c>
      <c r="D138" s="199"/>
      <c r="E138" s="200">
        <f t="shared" si="1"/>
        <v>0</v>
      </c>
    </row>
    <row r="139" ht="22.5" customHeight="1">
      <c r="A139" s="196" t="s">
        <v>1076</v>
      </c>
      <c r="B139" s="204" t="s">
        <v>1413</v>
      </c>
      <c r="C139" s="207" t="s">
        <v>1183</v>
      </c>
      <c r="D139" s="199">
        <v>176000.0</v>
      </c>
      <c r="E139" s="200">
        <f t="shared" si="1"/>
        <v>202400</v>
      </c>
    </row>
    <row r="140" ht="22.5" customHeight="1">
      <c r="A140" s="201"/>
      <c r="B140" s="208"/>
      <c r="C140" s="209" t="s">
        <v>1184</v>
      </c>
      <c r="D140" s="199"/>
      <c r="E140" s="200">
        <f t="shared" si="1"/>
        <v>0</v>
      </c>
    </row>
    <row r="141" ht="22.5" customHeight="1">
      <c r="A141" s="201"/>
      <c r="B141" s="208"/>
      <c r="C141" s="209" t="s">
        <v>1186</v>
      </c>
      <c r="D141" s="199"/>
      <c r="E141" s="200">
        <f t="shared" si="1"/>
        <v>0</v>
      </c>
    </row>
    <row r="142" ht="22.5" customHeight="1">
      <c r="A142" s="211"/>
      <c r="B142" s="208"/>
      <c r="C142" s="212" t="s">
        <v>1260</v>
      </c>
      <c r="D142" s="199"/>
      <c r="E142" s="200">
        <f t="shared" si="1"/>
        <v>0</v>
      </c>
    </row>
    <row r="143" ht="22.5" customHeight="1">
      <c r="A143" s="196" t="s">
        <v>1076</v>
      </c>
      <c r="B143" s="204" t="s">
        <v>1414</v>
      </c>
      <c r="C143" s="207" t="s">
        <v>1183</v>
      </c>
      <c r="D143" s="199">
        <v>190000.0</v>
      </c>
      <c r="E143" s="200">
        <f t="shared" si="1"/>
        <v>218500</v>
      </c>
    </row>
    <row r="144" ht="22.5" customHeight="1">
      <c r="A144" s="201"/>
      <c r="B144" s="208"/>
      <c r="C144" s="209" t="s">
        <v>1184</v>
      </c>
      <c r="D144" s="199"/>
      <c r="E144" s="200">
        <f t="shared" si="1"/>
        <v>0</v>
      </c>
    </row>
    <row r="145" ht="22.5" customHeight="1">
      <c r="A145" s="201"/>
      <c r="B145" s="208"/>
      <c r="C145" s="209" t="s">
        <v>1186</v>
      </c>
      <c r="D145" s="199"/>
      <c r="E145" s="200">
        <f t="shared" si="1"/>
        <v>0</v>
      </c>
    </row>
    <row r="146" ht="22.5" customHeight="1">
      <c r="A146" s="211"/>
      <c r="B146" s="208"/>
      <c r="C146" s="198" t="s">
        <v>1260</v>
      </c>
      <c r="D146" s="199"/>
      <c r="E146" s="200">
        <f t="shared" si="1"/>
        <v>0</v>
      </c>
    </row>
    <row r="147" ht="22.5" customHeight="1">
      <c r="A147" s="196" t="s">
        <v>1076</v>
      </c>
      <c r="B147" s="204" t="s">
        <v>1415</v>
      </c>
      <c r="C147" s="207" t="s">
        <v>1183</v>
      </c>
      <c r="D147" s="323">
        <v>160000.0</v>
      </c>
      <c r="E147" s="200">
        <f t="shared" si="1"/>
        <v>184000</v>
      </c>
    </row>
    <row r="148" ht="22.5" customHeight="1">
      <c r="A148" s="201"/>
      <c r="B148" s="208"/>
      <c r="C148" s="209" t="s">
        <v>1184</v>
      </c>
      <c r="D148" s="324"/>
      <c r="E148" s="200">
        <f t="shared" si="1"/>
        <v>0</v>
      </c>
    </row>
    <row r="149" ht="22.5" customHeight="1">
      <c r="A149" s="201"/>
      <c r="B149" s="208"/>
      <c r="C149" s="209" t="s">
        <v>1186</v>
      </c>
      <c r="D149" s="324"/>
      <c r="E149" s="200">
        <f t="shared" si="1"/>
        <v>0</v>
      </c>
    </row>
    <row r="150" ht="22.5" customHeight="1">
      <c r="A150" s="211"/>
      <c r="B150" s="208"/>
      <c r="C150" s="198" t="s">
        <v>1260</v>
      </c>
      <c r="D150" s="324"/>
      <c r="E150" s="200">
        <f t="shared" si="1"/>
        <v>0</v>
      </c>
    </row>
    <row r="151" ht="22.5" customHeight="1">
      <c r="A151" s="196" t="s">
        <v>1076</v>
      </c>
      <c r="B151" s="204" t="s">
        <v>1416</v>
      </c>
      <c r="C151" s="207" t="s">
        <v>1183</v>
      </c>
      <c r="D151" s="324"/>
      <c r="E151" s="200">
        <f t="shared" si="1"/>
        <v>0</v>
      </c>
    </row>
    <row r="152" ht="22.5" customHeight="1">
      <c r="A152" s="201"/>
      <c r="B152" s="208"/>
      <c r="C152" s="209" t="s">
        <v>1184</v>
      </c>
      <c r="D152" s="324"/>
      <c r="E152" s="200">
        <f t="shared" si="1"/>
        <v>0</v>
      </c>
    </row>
    <row r="153" ht="22.5" customHeight="1">
      <c r="A153" s="201"/>
      <c r="B153" s="208"/>
      <c r="C153" s="209" t="s">
        <v>1186</v>
      </c>
      <c r="D153" s="324"/>
      <c r="E153" s="200">
        <f t="shared" si="1"/>
        <v>0</v>
      </c>
    </row>
    <row r="154" ht="22.5" customHeight="1">
      <c r="A154" s="211"/>
      <c r="B154" s="208"/>
      <c r="C154" s="198" t="s">
        <v>1260</v>
      </c>
      <c r="D154" s="324"/>
      <c r="E154" s="200">
        <f t="shared" si="1"/>
        <v>0</v>
      </c>
    </row>
    <row r="155" ht="22.5" customHeight="1">
      <c r="A155" s="196" t="s">
        <v>1076</v>
      </c>
      <c r="B155" s="204" t="s">
        <v>1417</v>
      </c>
      <c r="C155" s="207" t="s">
        <v>1183</v>
      </c>
      <c r="D155" s="323">
        <v>85000.0</v>
      </c>
      <c r="E155" s="200">
        <f t="shared" si="1"/>
        <v>97750</v>
      </c>
    </row>
    <row r="156" ht="22.5" customHeight="1">
      <c r="A156" s="201"/>
      <c r="B156" s="208"/>
      <c r="C156" s="209" t="s">
        <v>1184</v>
      </c>
      <c r="D156" s="324"/>
      <c r="E156" s="200">
        <f t="shared" si="1"/>
        <v>0</v>
      </c>
    </row>
    <row r="157" ht="22.5" customHeight="1">
      <c r="A157" s="201"/>
      <c r="B157" s="208"/>
      <c r="C157" s="209" t="s">
        <v>1186</v>
      </c>
      <c r="D157" s="324"/>
      <c r="E157" s="200">
        <f t="shared" si="1"/>
        <v>0</v>
      </c>
    </row>
    <row r="158" ht="22.5" customHeight="1">
      <c r="A158" s="211"/>
      <c r="B158" s="208"/>
      <c r="C158" s="198" t="s">
        <v>1260</v>
      </c>
      <c r="D158" s="324"/>
      <c r="E158" s="200">
        <f t="shared" si="1"/>
        <v>0</v>
      </c>
    </row>
    <row r="159" ht="22.5" customHeight="1">
      <c r="A159" s="196" t="s">
        <v>1076</v>
      </c>
      <c r="B159" s="204" t="s">
        <v>1418</v>
      </c>
      <c r="C159" s="207" t="s">
        <v>1183</v>
      </c>
      <c r="D159" s="323">
        <v>176000.0</v>
      </c>
      <c r="E159" s="200">
        <f t="shared" si="1"/>
        <v>202400</v>
      </c>
    </row>
    <row r="160" ht="22.5" customHeight="1">
      <c r="A160" s="201"/>
      <c r="B160" s="208"/>
      <c r="C160" s="209" t="s">
        <v>1184</v>
      </c>
      <c r="D160" s="324"/>
      <c r="E160" s="200">
        <f t="shared" si="1"/>
        <v>0</v>
      </c>
    </row>
    <row r="161" ht="22.5" customHeight="1">
      <c r="A161" s="201"/>
      <c r="B161" s="208"/>
      <c r="C161" s="209" t="s">
        <v>1186</v>
      </c>
      <c r="D161" s="324"/>
      <c r="E161" s="200">
        <f t="shared" si="1"/>
        <v>0</v>
      </c>
    </row>
    <row r="162" ht="22.5" customHeight="1">
      <c r="A162" s="211"/>
      <c r="B162" s="208"/>
      <c r="C162" s="198" t="s">
        <v>1260</v>
      </c>
      <c r="D162" s="324"/>
      <c r="E162" s="200">
        <f t="shared" si="1"/>
        <v>0</v>
      </c>
    </row>
    <row r="163" ht="22.5" customHeight="1">
      <c r="A163" s="196" t="s">
        <v>1076</v>
      </c>
      <c r="B163" s="204" t="s">
        <v>1419</v>
      </c>
      <c r="C163" s="207" t="s">
        <v>1183</v>
      </c>
      <c r="D163" s="323">
        <v>160000.0</v>
      </c>
      <c r="E163" s="200">
        <f t="shared" si="1"/>
        <v>184000</v>
      </c>
    </row>
    <row r="164" ht="22.5" customHeight="1">
      <c r="A164" s="201"/>
      <c r="B164" s="208" t="s">
        <v>1420</v>
      </c>
      <c r="C164" s="209" t="s">
        <v>1184</v>
      </c>
      <c r="D164" s="324"/>
      <c r="E164" s="200">
        <f t="shared" si="1"/>
        <v>0</v>
      </c>
    </row>
    <row r="165" ht="22.5" customHeight="1">
      <c r="A165" s="201"/>
      <c r="B165" s="208"/>
      <c r="C165" s="209" t="s">
        <v>1186</v>
      </c>
      <c r="D165" s="324"/>
      <c r="E165" s="200">
        <f t="shared" si="1"/>
        <v>0</v>
      </c>
    </row>
    <row r="166" ht="22.5" customHeight="1">
      <c r="A166" s="325"/>
      <c r="B166" s="326"/>
      <c r="C166" s="198" t="s">
        <v>1260</v>
      </c>
      <c r="D166" s="324"/>
      <c r="E166" s="200">
        <f t="shared" si="1"/>
        <v>0</v>
      </c>
    </row>
    <row r="167" ht="22.5" customHeight="1">
      <c r="A167" s="327"/>
      <c r="B167" s="328"/>
      <c r="C167" s="327"/>
      <c r="D167" s="327"/>
      <c r="E167" s="327"/>
    </row>
    <row r="168" ht="22.5" customHeight="1">
      <c r="A168" s="327"/>
      <c r="B168" s="328"/>
      <c r="C168" s="327"/>
      <c r="D168" s="327"/>
      <c r="E168" s="327"/>
    </row>
    <row r="169" ht="22.5" customHeight="1">
      <c r="A169" s="327"/>
      <c r="B169" s="328"/>
      <c r="C169" s="327"/>
      <c r="D169" s="327"/>
      <c r="E169" s="327"/>
    </row>
    <row r="170" ht="22.5" customHeight="1">
      <c r="A170" s="327"/>
      <c r="B170" s="328"/>
      <c r="C170" s="327"/>
      <c r="D170" s="327"/>
      <c r="E170" s="327"/>
    </row>
    <row r="171" ht="22.5" customHeight="1">
      <c r="A171" s="327"/>
      <c r="B171" s="328"/>
      <c r="C171" s="327"/>
      <c r="D171" s="327"/>
      <c r="E171" s="327"/>
    </row>
    <row r="172" ht="22.5" customHeight="1">
      <c r="A172" s="327"/>
      <c r="B172" s="328"/>
      <c r="C172" s="327"/>
      <c r="D172" s="327"/>
      <c r="E172" s="327"/>
    </row>
    <row r="173" ht="22.5" customHeight="1">
      <c r="A173" s="327"/>
      <c r="B173" s="328"/>
      <c r="C173" s="327"/>
      <c r="D173" s="327"/>
      <c r="E173" s="327"/>
    </row>
    <row r="174" ht="22.5" customHeight="1">
      <c r="A174" s="327"/>
      <c r="B174" s="328"/>
      <c r="C174" s="327"/>
      <c r="D174" s="327"/>
      <c r="E174" s="327"/>
    </row>
    <row r="175" ht="22.5" customHeight="1">
      <c r="A175" s="327"/>
      <c r="B175" s="328"/>
      <c r="C175" s="327"/>
      <c r="D175" s="327"/>
      <c r="E175" s="327"/>
    </row>
    <row r="176" ht="22.5" customHeight="1">
      <c r="A176" s="327"/>
      <c r="B176" s="328"/>
      <c r="C176" s="327"/>
      <c r="D176" s="327"/>
      <c r="E176" s="327"/>
    </row>
    <row r="177" ht="22.5" customHeight="1">
      <c r="A177" s="327"/>
      <c r="B177" s="328"/>
      <c r="C177" s="327"/>
      <c r="D177" s="327"/>
      <c r="E177" s="327"/>
    </row>
    <row r="178" ht="22.5" customHeight="1">
      <c r="A178" s="327"/>
      <c r="B178" s="328"/>
      <c r="C178" s="327"/>
      <c r="D178" s="327"/>
      <c r="E178" s="327"/>
    </row>
    <row r="179" ht="22.5" customHeight="1">
      <c r="A179" s="327"/>
      <c r="B179" s="328"/>
      <c r="C179" s="327"/>
      <c r="D179" s="327"/>
      <c r="E179" s="327"/>
    </row>
    <row r="180" ht="22.5" customHeight="1">
      <c r="A180" s="327"/>
      <c r="B180" s="328"/>
      <c r="C180" s="327"/>
      <c r="D180" s="327"/>
      <c r="E180" s="327"/>
    </row>
    <row r="181" ht="22.5" customHeight="1">
      <c r="A181" s="327"/>
      <c r="B181" s="328"/>
      <c r="C181" s="327"/>
      <c r="D181" s="327"/>
      <c r="E181" s="327"/>
    </row>
    <row r="182" ht="22.5" customHeight="1">
      <c r="A182" s="327"/>
      <c r="B182" s="328"/>
      <c r="C182" s="327"/>
      <c r="D182" s="327"/>
      <c r="E182" s="327"/>
    </row>
    <row r="183" ht="22.5" customHeight="1">
      <c r="A183" s="327"/>
      <c r="B183" s="328"/>
      <c r="C183" s="327"/>
      <c r="D183" s="327"/>
      <c r="E183" s="327"/>
    </row>
    <row r="184" ht="22.5" customHeight="1">
      <c r="A184" s="327"/>
      <c r="B184" s="328"/>
      <c r="C184" s="327"/>
      <c r="D184" s="327"/>
      <c r="E184" s="327"/>
    </row>
    <row r="185" ht="22.5" customHeight="1">
      <c r="A185" s="327"/>
      <c r="B185" s="328"/>
      <c r="C185" s="327"/>
      <c r="D185" s="327"/>
      <c r="E185" s="327"/>
    </row>
    <row r="186" ht="22.5" customHeight="1">
      <c r="A186" s="327"/>
      <c r="B186" s="328"/>
      <c r="C186" s="327"/>
      <c r="D186" s="327"/>
      <c r="E186" s="327"/>
    </row>
    <row r="187" ht="22.5" customHeight="1">
      <c r="A187" s="327"/>
      <c r="B187" s="328"/>
      <c r="C187" s="327"/>
      <c r="D187" s="327"/>
      <c r="E187" s="327"/>
    </row>
    <row r="188" ht="22.5" customHeight="1">
      <c r="A188" s="327"/>
      <c r="B188" s="328"/>
      <c r="C188" s="327"/>
      <c r="D188" s="327"/>
      <c r="E188" s="327"/>
    </row>
    <row r="189" ht="22.5" customHeight="1">
      <c r="A189" s="327"/>
      <c r="B189" s="328"/>
      <c r="C189" s="327"/>
      <c r="D189" s="327"/>
      <c r="E189" s="327"/>
    </row>
    <row r="190" ht="22.5" customHeight="1">
      <c r="A190" s="327"/>
      <c r="B190" s="327"/>
      <c r="C190" s="327"/>
      <c r="D190" s="327"/>
      <c r="E190" s="327"/>
    </row>
    <row r="191" ht="22.5" customHeight="1">
      <c r="A191" s="327"/>
      <c r="B191" s="327"/>
      <c r="C191" s="327"/>
      <c r="D191" s="327"/>
      <c r="E191" s="327"/>
    </row>
    <row r="192" ht="22.5" customHeight="1">
      <c r="A192" s="327"/>
      <c r="B192" s="327"/>
      <c r="C192" s="327"/>
      <c r="D192" s="327"/>
      <c r="E192" s="327"/>
    </row>
    <row r="193" ht="22.5" customHeight="1">
      <c r="A193" s="327"/>
      <c r="B193" s="327"/>
      <c r="C193" s="327"/>
      <c r="D193" s="327"/>
      <c r="E193" s="327"/>
    </row>
    <row r="194" ht="22.5" customHeight="1">
      <c r="A194" s="327"/>
      <c r="B194" s="327"/>
      <c r="C194" s="327"/>
      <c r="D194" s="327"/>
      <c r="E194" s="327"/>
    </row>
    <row r="195" ht="22.5" customHeight="1">
      <c r="A195" s="327"/>
      <c r="B195" s="327"/>
      <c r="C195" s="327"/>
      <c r="D195" s="327"/>
      <c r="E195" s="327"/>
    </row>
    <row r="196" ht="22.5" customHeight="1">
      <c r="A196" s="327"/>
      <c r="B196" s="327"/>
      <c r="C196" s="327"/>
      <c r="D196" s="327"/>
      <c r="E196" s="327"/>
    </row>
    <row r="197" ht="22.5" customHeight="1">
      <c r="A197" s="327"/>
      <c r="B197" s="327"/>
      <c r="C197" s="327"/>
      <c r="D197" s="327"/>
      <c r="E197" s="327"/>
    </row>
    <row r="198" ht="22.5" customHeight="1">
      <c r="A198" s="327"/>
      <c r="B198" s="327"/>
      <c r="C198" s="327"/>
      <c r="D198" s="327"/>
      <c r="E198" s="327"/>
    </row>
    <row r="199" ht="22.5" customHeight="1">
      <c r="A199" s="327"/>
      <c r="B199" s="327"/>
      <c r="C199" s="327"/>
      <c r="D199" s="327"/>
      <c r="E199" s="327"/>
    </row>
    <row r="200" ht="22.5" customHeight="1">
      <c r="A200" s="327"/>
      <c r="B200" s="327"/>
      <c r="C200" s="327"/>
      <c r="D200" s="327"/>
      <c r="E200" s="327"/>
    </row>
    <row r="201" ht="22.5" customHeight="1">
      <c r="A201" s="327"/>
      <c r="B201" s="327"/>
      <c r="C201" s="327"/>
      <c r="D201" s="327"/>
      <c r="E201" s="327"/>
    </row>
    <row r="202" ht="22.5" customHeight="1">
      <c r="A202" s="327"/>
      <c r="B202" s="327"/>
      <c r="C202" s="327"/>
      <c r="D202" s="327"/>
      <c r="E202" s="327"/>
    </row>
    <row r="203" ht="22.5" customHeight="1">
      <c r="A203" s="327"/>
      <c r="B203" s="327"/>
      <c r="C203" s="327"/>
      <c r="D203" s="327"/>
      <c r="E203" s="327"/>
    </row>
    <row r="204" ht="22.5" customHeight="1">
      <c r="A204" s="327"/>
      <c r="B204" s="327"/>
      <c r="C204" s="327"/>
      <c r="D204" s="327"/>
      <c r="E204" s="327"/>
    </row>
    <row r="205" ht="22.5" customHeight="1">
      <c r="A205" s="327"/>
      <c r="B205" s="327"/>
      <c r="C205" s="327"/>
      <c r="D205" s="327"/>
      <c r="E205" s="327"/>
    </row>
    <row r="206" ht="22.5" customHeight="1">
      <c r="A206" s="327"/>
      <c r="B206" s="327"/>
      <c r="C206" s="327"/>
      <c r="D206" s="327"/>
      <c r="E206" s="327"/>
    </row>
    <row r="207" ht="22.5" customHeight="1">
      <c r="A207" s="327"/>
      <c r="B207" s="327"/>
      <c r="C207" s="327"/>
      <c r="D207" s="327"/>
      <c r="E207" s="327"/>
    </row>
    <row r="208" ht="22.5" customHeight="1">
      <c r="A208" s="327"/>
      <c r="B208" s="327"/>
      <c r="C208" s="327"/>
      <c r="D208" s="327"/>
      <c r="E208" s="327"/>
    </row>
    <row r="209" ht="22.5" customHeight="1">
      <c r="A209" s="327"/>
      <c r="B209" s="327"/>
      <c r="C209" s="327"/>
      <c r="D209" s="327"/>
      <c r="E209" s="327"/>
    </row>
    <row r="210" ht="22.5" customHeight="1">
      <c r="A210" s="327"/>
      <c r="B210" s="327"/>
      <c r="C210" s="327"/>
      <c r="D210" s="327"/>
      <c r="E210" s="327"/>
    </row>
    <row r="211" ht="22.5" customHeight="1">
      <c r="A211" s="327"/>
      <c r="B211" s="327"/>
      <c r="C211" s="327"/>
      <c r="D211" s="327"/>
      <c r="E211" s="327"/>
    </row>
    <row r="212" ht="22.5" customHeight="1">
      <c r="A212" s="327"/>
      <c r="B212" s="327"/>
      <c r="C212" s="327"/>
      <c r="D212" s="327"/>
      <c r="E212" s="327"/>
    </row>
    <row r="213" ht="22.5" customHeight="1">
      <c r="A213" s="327"/>
      <c r="B213" s="327"/>
      <c r="C213" s="327"/>
      <c r="D213" s="327"/>
      <c r="E213" s="327"/>
    </row>
    <row r="214" ht="22.5" customHeight="1">
      <c r="A214" s="327"/>
      <c r="B214" s="327"/>
      <c r="C214" s="327"/>
      <c r="D214" s="327"/>
      <c r="E214" s="327"/>
    </row>
    <row r="215" ht="22.5" customHeight="1">
      <c r="A215" s="327"/>
      <c r="B215" s="327"/>
      <c r="C215" s="327"/>
      <c r="D215" s="327"/>
      <c r="E215" s="327"/>
    </row>
    <row r="216" ht="22.5" customHeight="1">
      <c r="A216" s="327"/>
      <c r="B216" s="327"/>
      <c r="C216" s="327"/>
      <c r="D216" s="327"/>
      <c r="E216" s="327"/>
    </row>
    <row r="217" ht="22.5" customHeight="1">
      <c r="A217" s="327"/>
      <c r="B217" s="327"/>
      <c r="C217" s="327"/>
      <c r="D217" s="327"/>
      <c r="E217" s="327"/>
    </row>
    <row r="218" ht="22.5" customHeight="1">
      <c r="A218" s="327"/>
      <c r="B218" s="327"/>
      <c r="C218" s="327"/>
      <c r="D218" s="327"/>
      <c r="E218" s="327"/>
    </row>
    <row r="219" ht="22.5" customHeight="1">
      <c r="A219" s="327"/>
      <c r="B219" s="327"/>
      <c r="C219" s="327"/>
      <c r="D219" s="327"/>
      <c r="E219" s="327"/>
    </row>
    <row r="220" ht="22.5" customHeight="1">
      <c r="A220" s="327"/>
      <c r="B220" s="327"/>
      <c r="C220" s="327"/>
      <c r="D220" s="327"/>
      <c r="E220" s="327"/>
    </row>
    <row r="221" ht="22.5" customHeight="1">
      <c r="A221" s="327"/>
      <c r="B221" s="327"/>
      <c r="C221" s="327"/>
      <c r="D221" s="327"/>
      <c r="E221" s="327"/>
    </row>
    <row r="222" ht="22.5" customHeight="1">
      <c r="A222" s="327"/>
      <c r="B222" s="327"/>
      <c r="C222" s="327"/>
      <c r="D222" s="327"/>
      <c r="E222" s="327"/>
    </row>
    <row r="223" ht="22.5" customHeight="1">
      <c r="A223" s="327"/>
      <c r="B223" s="327"/>
      <c r="C223" s="327"/>
      <c r="D223" s="327"/>
      <c r="E223" s="327"/>
    </row>
    <row r="224" ht="22.5" customHeight="1">
      <c r="A224" s="327"/>
      <c r="B224" s="327"/>
      <c r="C224" s="327"/>
      <c r="D224" s="327"/>
      <c r="E224" s="327"/>
    </row>
    <row r="225" ht="22.5" customHeight="1">
      <c r="A225" s="327"/>
      <c r="B225" s="327"/>
      <c r="C225" s="327"/>
      <c r="D225" s="327"/>
      <c r="E225" s="327"/>
    </row>
    <row r="226" ht="22.5" customHeight="1">
      <c r="A226" s="327"/>
      <c r="B226" s="327"/>
      <c r="C226" s="327"/>
      <c r="D226" s="327"/>
      <c r="E226" s="327"/>
    </row>
    <row r="227" ht="22.5" customHeight="1">
      <c r="A227" s="327"/>
      <c r="B227" s="327"/>
      <c r="C227" s="327"/>
      <c r="D227" s="327"/>
      <c r="E227" s="327"/>
    </row>
    <row r="228" ht="22.5" customHeight="1">
      <c r="A228" s="327"/>
      <c r="B228" s="327"/>
      <c r="C228" s="327"/>
      <c r="D228" s="327"/>
      <c r="E228" s="327"/>
    </row>
    <row r="229" ht="22.5" customHeight="1">
      <c r="A229" s="327"/>
      <c r="B229" s="327"/>
      <c r="C229" s="327"/>
      <c r="D229" s="327"/>
      <c r="E229" s="327"/>
    </row>
    <row r="230" ht="22.5" customHeight="1">
      <c r="A230" s="327"/>
      <c r="B230" s="327"/>
      <c r="C230" s="327"/>
      <c r="D230" s="327"/>
      <c r="E230" s="327"/>
    </row>
    <row r="231" ht="22.5" customHeight="1">
      <c r="A231" s="327"/>
      <c r="B231" s="327"/>
      <c r="C231" s="327"/>
      <c r="D231" s="327"/>
      <c r="E231" s="327"/>
    </row>
    <row r="232" ht="22.5" customHeight="1">
      <c r="A232" s="327"/>
      <c r="B232" s="327"/>
      <c r="C232" s="327"/>
      <c r="D232" s="327"/>
      <c r="E232" s="327"/>
    </row>
    <row r="233" ht="22.5" customHeight="1">
      <c r="A233" s="327"/>
      <c r="B233" s="327"/>
      <c r="C233" s="327"/>
      <c r="D233" s="327"/>
      <c r="E233" s="327"/>
    </row>
    <row r="234" ht="22.5" customHeight="1">
      <c r="A234" s="327"/>
      <c r="B234" s="327"/>
      <c r="C234" s="327"/>
      <c r="D234" s="327"/>
      <c r="E234" s="327"/>
    </row>
    <row r="235" ht="22.5" customHeight="1">
      <c r="A235" s="327"/>
      <c r="B235" s="327"/>
      <c r="C235" s="327"/>
      <c r="D235" s="327"/>
      <c r="E235" s="327"/>
    </row>
    <row r="236" ht="22.5" customHeight="1">
      <c r="A236" s="327"/>
      <c r="B236" s="327"/>
      <c r="C236" s="327"/>
      <c r="D236" s="327"/>
      <c r="E236" s="327"/>
    </row>
    <row r="237" ht="22.5" customHeight="1">
      <c r="A237" s="327"/>
      <c r="B237" s="327"/>
      <c r="C237" s="327"/>
      <c r="D237" s="327"/>
      <c r="E237" s="327"/>
    </row>
    <row r="238" ht="22.5" customHeight="1">
      <c r="A238" s="327"/>
      <c r="B238" s="327"/>
      <c r="C238" s="327"/>
      <c r="D238" s="327"/>
      <c r="E238" s="327"/>
    </row>
    <row r="239" ht="22.5" customHeight="1">
      <c r="A239" s="327"/>
      <c r="B239" s="327"/>
      <c r="C239" s="327"/>
      <c r="D239" s="327"/>
      <c r="E239" s="327"/>
    </row>
    <row r="240" ht="22.5" customHeight="1">
      <c r="A240" s="327"/>
      <c r="B240" s="327"/>
      <c r="C240" s="327"/>
      <c r="D240" s="327"/>
      <c r="E240" s="327"/>
    </row>
    <row r="241" ht="22.5" customHeight="1">
      <c r="A241" s="327"/>
      <c r="B241" s="327"/>
      <c r="C241" s="327"/>
      <c r="D241" s="327"/>
      <c r="E241" s="327"/>
    </row>
    <row r="242" ht="22.5" customHeight="1">
      <c r="A242" s="327"/>
      <c r="B242" s="327"/>
      <c r="C242" s="327"/>
      <c r="D242" s="327"/>
      <c r="E242" s="327"/>
    </row>
    <row r="243" ht="22.5" customHeight="1">
      <c r="A243" s="327"/>
      <c r="B243" s="327"/>
      <c r="C243" s="327"/>
      <c r="D243" s="327"/>
      <c r="E243" s="327"/>
    </row>
    <row r="244" ht="22.5" customHeight="1">
      <c r="A244" s="327"/>
      <c r="B244" s="327"/>
      <c r="C244" s="327"/>
      <c r="D244" s="327"/>
      <c r="E244" s="327"/>
    </row>
    <row r="245" ht="22.5" customHeight="1">
      <c r="A245" s="327"/>
      <c r="B245" s="327"/>
      <c r="C245" s="327"/>
      <c r="D245" s="327"/>
      <c r="E245" s="327"/>
    </row>
    <row r="246" ht="22.5" customHeight="1">
      <c r="A246" s="327"/>
      <c r="B246" s="327"/>
      <c r="C246" s="327"/>
      <c r="D246" s="327"/>
      <c r="E246" s="327"/>
    </row>
    <row r="247" ht="22.5" customHeight="1">
      <c r="A247" s="327"/>
      <c r="B247" s="327"/>
      <c r="C247" s="327"/>
      <c r="D247" s="327"/>
      <c r="E247" s="327"/>
    </row>
    <row r="248" ht="22.5" customHeight="1">
      <c r="A248" s="327"/>
      <c r="B248" s="327"/>
      <c r="C248" s="327"/>
      <c r="D248" s="327"/>
      <c r="E248" s="327"/>
    </row>
    <row r="249" ht="22.5" customHeight="1">
      <c r="A249" s="327"/>
      <c r="B249" s="327"/>
      <c r="C249" s="327"/>
      <c r="D249" s="327"/>
      <c r="E249" s="327"/>
    </row>
    <row r="250" ht="22.5" customHeight="1">
      <c r="A250" s="327"/>
      <c r="B250" s="327"/>
      <c r="C250" s="327"/>
      <c r="D250" s="327"/>
      <c r="E250" s="327"/>
    </row>
    <row r="251" ht="22.5" customHeight="1">
      <c r="A251" s="327"/>
      <c r="B251" s="327"/>
      <c r="C251" s="327"/>
      <c r="D251" s="327"/>
      <c r="E251" s="327"/>
    </row>
    <row r="252" ht="22.5" customHeight="1">
      <c r="A252" s="327"/>
      <c r="B252" s="327"/>
      <c r="C252" s="327"/>
      <c r="D252" s="327"/>
      <c r="E252" s="327"/>
    </row>
    <row r="253" ht="22.5" customHeight="1">
      <c r="A253" s="327"/>
      <c r="B253" s="327"/>
      <c r="C253" s="327"/>
      <c r="D253" s="327"/>
      <c r="E253" s="327"/>
    </row>
    <row r="254" ht="22.5" customHeight="1">
      <c r="A254" s="327"/>
      <c r="B254" s="327"/>
      <c r="C254" s="327"/>
      <c r="D254" s="327"/>
      <c r="E254" s="327"/>
    </row>
    <row r="255" ht="22.5" customHeight="1">
      <c r="A255" s="327"/>
      <c r="B255" s="327"/>
      <c r="C255" s="327"/>
      <c r="D255" s="327"/>
      <c r="E255" s="327"/>
    </row>
    <row r="256" ht="22.5" customHeight="1">
      <c r="A256" s="327"/>
      <c r="B256" s="327"/>
      <c r="C256" s="327"/>
      <c r="D256" s="327"/>
      <c r="E256" s="327"/>
    </row>
    <row r="257" ht="22.5" customHeight="1">
      <c r="A257" s="327"/>
      <c r="B257" s="327"/>
      <c r="C257" s="327"/>
      <c r="D257" s="327"/>
      <c r="E257" s="327"/>
    </row>
    <row r="258" ht="22.5" customHeight="1">
      <c r="A258" s="327"/>
      <c r="B258" s="327"/>
      <c r="C258" s="327"/>
      <c r="D258" s="327"/>
      <c r="E258" s="327"/>
    </row>
    <row r="259" ht="22.5" customHeight="1">
      <c r="A259" s="327"/>
      <c r="B259" s="327"/>
      <c r="C259" s="327"/>
      <c r="D259" s="327"/>
      <c r="E259" s="327"/>
    </row>
    <row r="260" ht="22.5" customHeight="1">
      <c r="A260" s="327"/>
      <c r="B260" s="327"/>
      <c r="C260" s="327"/>
      <c r="D260" s="327"/>
      <c r="E260" s="327"/>
    </row>
    <row r="261" ht="22.5" customHeight="1">
      <c r="A261" s="327"/>
      <c r="B261" s="327"/>
      <c r="C261" s="327"/>
      <c r="D261" s="327"/>
      <c r="E261" s="327"/>
    </row>
    <row r="262" ht="22.5" customHeight="1">
      <c r="A262" s="327"/>
      <c r="B262" s="327"/>
      <c r="C262" s="327"/>
      <c r="D262" s="327"/>
      <c r="E262" s="327"/>
    </row>
    <row r="263" ht="22.5" customHeight="1">
      <c r="A263" s="327"/>
      <c r="B263" s="327"/>
      <c r="C263" s="327"/>
      <c r="D263" s="327"/>
      <c r="E263" s="327"/>
    </row>
    <row r="264" ht="22.5" customHeight="1">
      <c r="A264" s="327"/>
      <c r="B264" s="327"/>
      <c r="C264" s="327"/>
      <c r="D264" s="327"/>
      <c r="E264" s="327"/>
    </row>
    <row r="265" ht="22.5" customHeight="1">
      <c r="A265" s="327"/>
      <c r="B265" s="327"/>
      <c r="C265" s="327"/>
      <c r="D265" s="327"/>
      <c r="E265" s="327"/>
    </row>
    <row r="266" ht="22.5" customHeight="1">
      <c r="A266" s="327"/>
      <c r="B266" s="327"/>
      <c r="C266" s="327"/>
      <c r="D266" s="327"/>
      <c r="E266" s="327"/>
    </row>
    <row r="267" ht="22.5" customHeight="1">
      <c r="A267" s="327"/>
      <c r="B267" s="327"/>
      <c r="C267" s="327"/>
      <c r="D267" s="327"/>
      <c r="E267" s="327"/>
    </row>
    <row r="268" ht="22.5" customHeight="1">
      <c r="A268" s="327"/>
      <c r="B268" s="327"/>
      <c r="C268" s="327"/>
      <c r="D268" s="327"/>
      <c r="E268" s="327"/>
    </row>
    <row r="269" ht="22.5" customHeight="1">
      <c r="A269" s="327"/>
      <c r="B269" s="327"/>
      <c r="C269" s="327"/>
      <c r="D269" s="327"/>
      <c r="E269" s="327"/>
    </row>
    <row r="270" ht="22.5" customHeight="1">
      <c r="A270" s="327"/>
      <c r="B270" s="327"/>
      <c r="C270" s="327"/>
      <c r="D270" s="327"/>
      <c r="E270" s="327"/>
    </row>
    <row r="271" ht="22.5" customHeight="1">
      <c r="A271" s="327"/>
      <c r="B271" s="327"/>
      <c r="C271" s="327"/>
      <c r="D271" s="327"/>
      <c r="E271" s="327"/>
    </row>
    <row r="272" ht="22.5" customHeight="1">
      <c r="A272" s="327"/>
      <c r="B272" s="327"/>
      <c r="C272" s="327"/>
      <c r="D272" s="327"/>
      <c r="E272" s="327"/>
    </row>
    <row r="273" ht="22.5" customHeight="1">
      <c r="A273" s="327"/>
      <c r="B273" s="327"/>
      <c r="C273" s="327"/>
      <c r="D273" s="327"/>
      <c r="E273" s="327"/>
    </row>
    <row r="274" ht="22.5" customHeight="1">
      <c r="A274" s="327"/>
      <c r="B274" s="327"/>
      <c r="C274" s="327"/>
      <c r="D274" s="327"/>
      <c r="E274" s="327"/>
    </row>
    <row r="275" ht="22.5" customHeight="1">
      <c r="A275" s="327"/>
      <c r="B275" s="327"/>
      <c r="C275" s="327"/>
      <c r="D275" s="327"/>
      <c r="E275" s="327"/>
    </row>
    <row r="276" ht="22.5" customHeight="1">
      <c r="A276" s="327"/>
      <c r="B276" s="327"/>
      <c r="C276" s="327"/>
      <c r="D276" s="327"/>
      <c r="E276" s="327"/>
    </row>
    <row r="277" ht="22.5" customHeight="1">
      <c r="A277" s="327"/>
      <c r="B277" s="327"/>
      <c r="C277" s="327"/>
      <c r="D277" s="327"/>
      <c r="E277" s="327"/>
    </row>
    <row r="278" ht="22.5" customHeight="1">
      <c r="A278" s="327"/>
      <c r="B278" s="327"/>
      <c r="C278" s="327"/>
      <c r="D278" s="327"/>
      <c r="E278" s="327"/>
    </row>
    <row r="279" ht="22.5" customHeight="1">
      <c r="A279" s="327"/>
      <c r="B279" s="327"/>
      <c r="C279" s="327"/>
      <c r="D279" s="327"/>
      <c r="E279" s="327"/>
    </row>
    <row r="280" ht="22.5" customHeight="1">
      <c r="A280" s="327"/>
      <c r="B280" s="327"/>
      <c r="C280" s="327"/>
      <c r="D280" s="327"/>
      <c r="E280" s="327"/>
    </row>
    <row r="281" ht="22.5" customHeight="1">
      <c r="A281" s="327"/>
      <c r="B281" s="327"/>
      <c r="C281" s="327"/>
      <c r="D281" s="327"/>
      <c r="E281" s="327"/>
    </row>
    <row r="282" ht="22.5" customHeight="1">
      <c r="A282" s="327"/>
      <c r="B282" s="327"/>
      <c r="C282" s="327"/>
      <c r="D282" s="327"/>
      <c r="E282" s="327"/>
    </row>
    <row r="283" ht="22.5" customHeight="1">
      <c r="A283" s="327"/>
      <c r="B283" s="327"/>
      <c r="C283" s="327"/>
      <c r="D283" s="327"/>
      <c r="E283" s="327"/>
    </row>
    <row r="284" ht="22.5" customHeight="1">
      <c r="A284" s="327"/>
      <c r="B284" s="327"/>
      <c r="C284" s="327"/>
      <c r="D284" s="327"/>
      <c r="E284" s="327"/>
    </row>
    <row r="285" ht="22.5" customHeight="1">
      <c r="A285" s="327"/>
      <c r="B285" s="327"/>
      <c r="C285" s="327"/>
      <c r="D285" s="327"/>
      <c r="E285" s="327"/>
    </row>
    <row r="286" ht="22.5" customHeight="1">
      <c r="A286" s="327"/>
      <c r="B286" s="327"/>
      <c r="C286" s="327"/>
      <c r="D286" s="327"/>
      <c r="E286" s="327"/>
    </row>
    <row r="287" ht="22.5" customHeight="1">
      <c r="A287" s="327"/>
      <c r="B287" s="327"/>
      <c r="C287" s="327"/>
      <c r="D287" s="327"/>
      <c r="E287" s="327"/>
    </row>
    <row r="288" ht="22.5" customHeight="1">
      <c r="A288" s="327"/>
      <c r="B288" s="327"/>
      <c r="C288" s="327"/>
      <c r="D288" s="327"/>
      <c r="E288" s="327"/>
    </row>
    <row r="289" ht="22.5" customHeight="1">
      <c r="A289" s="327"/>
      <c r="B289" s="327"/>
      <c r="C289" s="327"/>
      <c r="D289" s="327"/>
      <c r="E289" s="327"/>
    </row>
    <row r="290" ht="22.5" customHeight="1">
      <c r="A290" s="327"/>
      <c r="B290" s="327"/>
      <c r="C290" s="327"/>
      <c r="D290" s="327"/>
      <c r="E290" s="327"/>
    </row>
    <row r="291" ht="22.5" customHeight="1">
      <c r="A291" s="327"/>
      <c r="B291" s="327"/>
      <c r="C291" s="327"/>
      <c r="D291" s="327"/>
      <c r="E291" s="327"/>
    </row>
    <row r="292" ht="22.5" customHeight="1">
      <c r="A292" s="327"/>
      <c r="B292" s="327"/>
      <c r="C292" s="327"/>
      <c r="D292" s="327"/>
      <c r="E292" s="327"/>
    </row>
    <row r="293" ht="22.5" customHeight="1">
      <c r="A293" s="327"/>
      <c r="B293" s="327"/>
      <c r="C293" s="327"/>
      <c r="D293" s="327"/>
      <c r="E293" s="327"/>
    </row>
    <row r="294" ht="22.5" customHeight="1">
      <c r="A294" s="327"/>
      <c r="B294" s="327"/>
      <c r="C294" s="327"/>
      <c r="D294" s="327"/>
      <c r="E294" s="327"/>
    </row>
    <row r="295" ht="22.5" customHeight="1">
      <c r="A295" s="327"/>
      <c r="B295" s="327"/>
      <c r="C295" s="327"/>
      <c r="D295" s="327"/>
      <c r="E295" s="327"/>
    </row>
    <row r="296" ht="22.5" customHeight="1">
      <c r="A296" s="327"/>
      <c r="B296" s="327"/>
      <c r="C296" s="327"/>
      <c r="D296" s="327"/>
      <c r="E296" s="327"/>
    </row>
    <row r="297" ht="22.5" customHeight="1">
      <c r="A297" s="327"/>
      <c r="B297" s="327"/>
      <c r="C297" s="327"/>
      <c r="D297" s="327"/>
      <c r="E297" s="327"/>
    </row>
    <row r="298" ht="22.5" customHeight="1">
      <c r="A298" s="327"/>
      <c r="B298" s="327"/>
      <c r="C298" s="327"/>
      <c r="D298" s="327"/>
      <c r="E298" s="327"/>
    </row>
    <row r="299" ht="22.5" customHeight="1">
      <c r="A299" s="327"/>
      <c r="B299" s="327"/>
      <c r="C299" s="327"/>
      <c r="D299" s="327"/>
      <c r="E299" s="327"/>
    </row>
    <row r="300" ht="22.5" customHeight="1">
      <c r="A300" s="327"/>
      <c r="B300" s="327"/>
      <c r="C300" s="327"/>
      <c r="D300" s="327"/>
      <c r="E300" s="327"/>
    </row>
    <row r="301" ht="22.5" customHeight="1">
      <c r="A301" s="327"/>
      <c r="B301" s="327"/>
      <c r="C301" s="327"/>
      <c r="D301" s="327"/>
      <c r="E301" s="327"/>
    </row>
    <row r="302" ht="22.5" customHeight="1">
      <c r="A302" s="327"/>
      <c r="B302" s="327"/>
      <c r="C302" s="327"/>
      <c r="D302" s="327"/>
      <c r="E302" s="327"/>
    </row>
    <row r="303" ht="22.5" customHeight="1">
      <c r="A303" s="327"/>
      <c r="B303" s="327"/>
      <c r="C303" s="327"/>
      <c r="D303" s="327"/>
      <c r="E303" s="327"/>
    </row>
    <row r="304" ht="22.5" customHeight="1">
      <c r="A304" s="327"/>
      <c r="B304" s="327"/>
      <c r="C304" s="327"/>
      <c r="D304" s="327"/>
      <c r="E304" s="327"/>
    </row>
    <row r="305" ht="22.5" customHeight="1">
      <c r="A305" s="327"/>
      <c r="B305" s="327"/>
      <c r="C305" s="327"/>
      <c r="D305" s="327"/>
      <c r="E305" s="327"/>
    </row>
    <row r="306" ht="22.5" customHeight="1">
      <c r="A306" s="327"/>
      <c r="B306" s="327"/>
      <c r="C306" s="327"/>
      <c r="D306" s="327"/>
      <c r="E306" s="327"/>
    </row>
    <row r="307" ht="22.5" customHeight="1">
      <c r="A307" s="327"/>
      <c r="B307" s="327"/>
      <c r="C307" s="327"/>
      <c r="D307" s="327"/>
      <c r="E307" s="327"/>
    </row>
    <row r="308" ht="22.5" customHeight="1">
      <c r="A308" s="327"/>
      <c r="B308" s="327"/>
      <c r="C308" s="327"/>
      <c r="D308" s="327"/>
      <c r="E308" s="327"/>
    </row>
    <row r="309" ht="22.5" customHeight="1">
      <c r="A309" s="327"/>
      <c r="B309" s="327"/>
      <c r="C309" s="327"/>
      <c r="D309" s="327"/>
      <c r="E309" s="327"/>
    </row>
    <row r="310" ht="22.5" customHeight="1">
      <c r="A310" s="327"/>
      <c r="B310" s="327"/>
      <c r="C310" s="327"/>
      <c r="D310" s="327"/>
      <c r="E310" s="327"/>
    </row>
    <row r="311" ht="22.5" customHeight="1">
      <c r="A311" s="327"/>
      <c r="B311" s="327"/>
      <c r="C311" s="327"/>
      <c r="D311" s="327"/>
      <c r="E311" s="327"/>
    </row>
    <row r="312" ht="22.5" customHeight="1">
      <c r="A312" s="327"/>
      <c r="B312" s="327"/>
      <c r="C312" s="327"/>
      <c r="D312" s="327"/>
      <c r="E312" s="327"/>
    </row>
    <row r="313" ht="22.5" customHeight="1">
      <c r="A313" s="327"/>
      <c r="B313" s="327"/>
      <c r="C313" s="327"/>
      <c r="D313" s="327"/>
      <c r="E313" s="327"/>
    </row>
    <row r="314" ht="22.5" customHeight="1">
      <c r="A314" s="327"/>
      <c r="B314" s="327"/>
      <c r="C314" s="327"/>
      <c r="D314" s="327"/>
      <c r="E314" s="327"/>
    </row>
    <row r="315" ht="22.5" customHeight="1">
      <c r="A315" s="327"/>
      <c r="B315" s="327"/>
      <c r="C315" s="327"/>
      <c r="D315" s="327"/>
      <c r="E315" s="327"/>
    </row>
    <row r="316" ht="22.5" customHeight="1">
      <c r="A316" s="327"/>
      <c r="B316" s="327"/>
      <c r="C316" s="327"/>
      <c r="D316" s="327"/>
      <c r="E316" s="327"/>
    </row>
    <row r="317" ht="22.5" customHeight="1">
      <c r="A317" s="327"/>
      <c r="B317" s="327"/>
      <c r="C317" s="327"/>
      <c r="D317" s="327"/>
      <c r="E317" s="327"/>
    </row>
    <row r="318" ht="22.5" customHeight="1">
      <c r="A318" s="327"/>
      <c r="B318" s="327"/>
      <c r="C318" s="327"/>
      <c r="D318" s="327"/>
      <c r="E318" s="327"/>
    </row>
    <row r="319" ht="22.5" customHeight="1">
      <c r="A319" s="327"/>
      <c r="B319" s="327"/>
      <c r="C319" s="327"/>
      <c r="D319" s="327"/>
      <c r="E319" s="327"/>
    </row>
    <row r="320" ht="22.5" customHeight="1">
      <c r="A320" s="327"/>
      <c r="B320" s="327"/>
      <c r="C320" s="327"/>
      <c r="D320" s="327"/>
      <c r="E320" s="327"/>
    </row>
    <row r="321" ht="22.5" customHeight="1">
      <c r="A321" s="327"/>
      <c r="B321" s="327"/>
      <c r="C321" s="327"/>
      <c r="D321" s="327"/>
      <c r="E321" s="327"/>
    </row>
    <row r="322" ht="22.5" customHeight="1">
      <c r="A322" s="327"/>
      <c r="B322" s="327"/>
      <c r="C322" s="327"/>
      <c r="D322" s="327"/>
      <c r="E322" s="327"/>
    </row>
    <row r="323" ht="22.5" customHeight="1">
      <c r="A323" s="327"/>
      <c r="B323" s="327"/>
      <c r="C323" s="327"/>
      <c r="D323" s="327"/>
      <c r="E323" s="327"/>
    </row>
    <row r="324" ht="22.5" customHeight="1">
      <c r="A324" s="327"/>
      <c r="B324" s="327"/>
      <c r="C324" s="327"/>
      <c r="D324" s="327"/>
      <c r="E324" s="327"/>
    </row>
    <row r="325" ht="22.5" customHeight="1">
      <c r="A325" s="327"/>
      <c r="B325" s="327"/>
      <c r="C325" s="327"/>
      <c r="D325" s="327"/>
      <c r="E325" s="327"/>
    </row>
    <row r="326" ht="22.5" customHeight="1">
      <c r="A326" s="327"/>
      <c r="B326" s="327"/>
      <c r="C326" s="327"/>
      <c r="D326" s="327"/>
      <c r="E326" s="327"/>
    </row>
    <row r="327" ht="22.5" customHeight="1">
      <c r="A327" s="327"/>
      <c r="B327" s="327"/>
      <c r="C327" s="327"/>
      <c r="D327" s="327"/>
      <c r="E327" s="327"/>
    </row>
    <row r="328" ht="22.5" customHeight="1">
      <c r="A328" s="327"/>
      <c r="B328" s="327"/>
      <c r="C328" s="327"/>
      <c r="D328" s="327"/>
      <c r="E328" s="327"/>
    </row>
    <row r="329" ht="22.5" customHeight="1">
      <c r="A329" s="327"/>
      <c r="B329" s="327"/>
      <c r="C329" s="327"/>
      <c r="D329" s="327"/>
      <c r="E329" s="327"/>
    </row>
    <row r="330" ht="22.5" customHeight="1">
      <c r="A330" s="327"/>
      <c r="B330" s="327"/>
      <c r="C330" s="327"/>
      <c r="D330" s="327"/>
      <c r="E330" s="327"/>
    </row>
    <row r="331" ht="22.5" customHeight="1">
      <c r="A331" s="327"/>
      <c r="B331" s="327"/>
      <c r="C331" s="327"/>
      <c r="D331" s="327"/>
      <c r="E331" s="327"/>
    </row>
    <row r="332" ht="22.5" customHeight="1">
      <c r="A332" s="327"/>
      <c r="B332" s="327"/>
      <c r="C332" s="327"/>
      <c r="D332" s="327"/>
      <c r="E332" s="327"/>
    </row>
    <row r="333" ht="22.5" customHeight="1">
      <c r="A333" s="327"/>
      <c r="B333" s="327"/>
      <c r="C333" s="327"/>
      <c r="D333" s="327"/>
      <c r="E333" s="327"/>
    </row>
    <row r="334" ht="22.5" customHeight="1">
      <c r="A334" s="327"/>
      <c r="B334" s="327"/>
      <c r="C334" s="327"/>
      <c r="D334" s="327"/>
      <c r="E334" s="327"/>
    </row>
    <row r="335" ht="22.5" customHeight="1">
      <c r="A335" s="327"/>
      <c r="B335" s="327"/>
      <c r="C335" s="327"/>
      <c r="D335" s="327"/>
      <c r="E335" s="327"/>
    </row>
    <row r="336" ht="22.5" customHeight="1">
      <c r="A336" s="327"/>
      <c r="B336" s="327"/>
      <c r="C336" s="327"/>
      <c r="D336" s="327"/>
      <c r="E336" s="327"/>
    </row>
    <row r="337" ht="22.5" customHeight="1">
      <c r="A337" s="327"/>
      <c r="B337" s="327"/>
      <c r="C337" s="327"/>
      <c r="D337" s="327"/>
      <c r="E337" s="327"/>
    </row>
    <row r="338" ht="22.5" customHeight="1">
      <c r="A338" s="327"/>
      <c r="B338" s="327"/>
      <c r="C338" s="327"/>
      <c r="D338" s="327"/>
      <c r="E338" s="327"/>
    </row>
    <row r="339" ht="22.5" customHeight="1">
      <c r="A339" s="327"/>
      <c r="B339" s="327"/>
      <c r="C339" s="327"/>
      <c r="D339" s="327"/>
      <c r="E339" s="327"/>
    </row>
    <row r="340" ht="22.5" customHeight="1">
      <c r="A340" s="327"/>
      <c r="B340" s="327"/>
      <c r="C340" s="327"/>
      <c r="D340" s="327"/>
      <c r="E340" s="327"/>
    </row>
    <row r="341" ht="22.5" customHeight="1">
      <c r="A341" s="327"/>
      <c r="B341" s="327"/>
      <c r="C341" s="327"/>
      <c r="D341" s="327"/>
      <c r="E341" s="327"/>
    </row>
    <row r="342" ht="22.5" customHeight="1">
      <c r="A342" s="327"/>
      <c r="B342" s="327"/>
      <c r="C342" s="327"/>
      <c r="D342" s="327"/>
      <c r="E342" s="327"/>
    </row>
    <row r="343" ht="22.5" customHeight="1">
      <c r="A343" s="327"/>
      <c r="B343" s="327"/>
      <c r="C343" s="327"/>
      <c r="D343" s="327"/>
      <c r="E343" s="327"/>
    </row>
    <row r="344" ht="22.5" customHeight="1">
      <c r="A344" s="327"/>
      <c r="B344" s="327"/>
      <c r="C344" s="327"/>
      <c r="D344" s="327"/>
      <c r="E344" s="327"/>
    </row>
    <row r="345" ht="22.5" customHeight="1">
      <c r="A345" s="327"/>
      <c r="B345" s="327"/>
      <c r="C345" s="327"/>
      <c r="D345" s="327"/>
      <c r="E345" s="327"/>
    </row>
    <row r="346" ht="22.5" customHeight="1">
      <c r="A346" s="327"/>
      <c r="B346" s="327"/>
      <c r="C346" s="327"/>
      <c r="D346" s="327"/>
      <c r="E346" s="327"/>
    </row>
    <row r="347" ht="22.5" customHeight="1">
      <c r="A347" s="327"/>
      <c r="B347" s="327"/>
      <c r="C347" s="327"/>
      <c r="D347" s="327"/>
      <c r="E347" s="327"/>
    </row>
    <row r="348" ht="22.5" customHeight="1">
      <c r="A348" s="327"/>
      <c r="B348" s="327"/>
      <c r="C348" s="327"/>
      <c r="D348" s="327"/>
      <c r="E348" s="327"/>
    </row>
    <row r="349" ht="22.5" customHeight="1">
      <c r="A349" s="327"/>
      <c r="B349" s="327"/>
      <c r="C349" s="327"/>
      <c r="D349" s="327"/>
      <c r="E349" s="327"/>
    </row>
    <row r="350" ht="22.5" customHeight="1">
      <c r="A350" s="327"/>
      <c r="B350" s="327"/>
      <c r="C350" s="327"/>
      <c r="D350" s="327"/>
      <c r="E350" s="327"/>
    </row>
    <row r="351" ht="22.5" customHeight="1">
      <c r="A351" s="327"/>
      <c r="B351" s="327"/>
      <c r="C351" s="327"/>
      <c r="D351" s="327"/>
      <c r="E351" s="327"/>
    </row>
    <row r="352" ht="22.5" customHeight="1">
      <c r="A352" s="327"/>
      <c r="B352" s="327"/>
      <c r="C352" s="327"/>
      <c r="D352" s="327"/>
      <c r="E352" s="327"/>
    </row>
    <row r="353" ht="22.5" customHeight="1">
      <c r="A353" s="327"/>
      <c r="B353" s="327"/>
      <c r="C353" s="327"/>
      <c r="D353" s="327"/>
      <c r="E353" s="327"/>
    </row>
    <row r="354" ht="22.5" customHeight="1">
      <c r="A354" s="327"/>
      <c r="B354" s="327"/>
      <c r="C354" s="327"/>
      <c r="D354" s="327"/>
      <c r="E354" s="327"/>
    </row>
    <row r="355" ht="22.5" customHeight="1">
      <c r="A355" s="327"/>
      <c r="B355" s="327"/>
      <c r="C355" s="327"/>
      <c r="D355" s="327"/>
      <c r="E355" s="327"/>
    </row>
    <row r="356" ht="22.5" customHeight="1">
      <c r="A356" s="327"/>
      <c r="B356" s="327"/>
      <c r="C356" s="327"/>
      <c r="D356" s="327"/>
      <c r="E356" s="327"/>
    </row>
    <row r="357" ht="22.5" customHeight="1">
      <c r="A357" s="327"/>
      <c r="B357" s="327"/>
      <c r="C357" s="327"/>
      <c r="D357" s="327"/>
      <c r="E357" s="327"/>
    </row>
    <row r="358" ht="22.5" customHeight="1">
      <c r="A358" s="327"/>
      <c r="B358" s="327"/>
      <c r="C358" s="327"/>
      <c r="D358" s="327"/>
      <c r="E358" s="327"/>
    </row>
    <row r="359" ht="22.5" customHeight="1">
      <c r="A359" s="327"/>
      <c r="B359" s="327"/>
      <c r="C359" s="327"/>
      <c r="D359" s="327"/>
      <c r="E359" s="327"/>
    </row>
    <row r="360" ht="22.5" customHeight="1">
      <c r="A360" s="327"/>
      <c r="B360" s="327"/>
      <c r="C360" s="327"/>
      <c r="D360" s="327"/>
      <c r="E360" s="327"/>
    </row>
    <row r="361" ht="22.5" customHeight="1">
      <c r="A361" s="327"/>
      <c r="B361" s="327"/>
      <c r="C361" s="327"/>
      <c r="D361" s="327"/>
      <c r="E361" s="327"/>
    </row>
    <row r="362" ht="22.5" customHeight="1">
      <c r="A362" s="327"/>
      <c r="B362" s="327"/>
      <c r="C362" s="327"/>
      <c r="D362" s="327"/>
      <c r="E362" s="327"/>
    </row>
    <row r="363" ht="22.5" customHeight="1">
      <c r="A363" s="327"/>
      <c r="B363" s="327"/>
      <c r="C363" s="327"/>
      <c r="D363" s="327"/>
      <c r="E363" s="327"/>
    </row>
    <row r="364" ht="22.5" customHeight="1">
      <c r="A364" s="327"/>
      <c r="B364" s="327"/>
      <c r="C364" s="327"/>
      <c r="D364" s="327"/>
      <c r="E364" s="327"/>
    </row>
    <row r="365" ht="22.5" customHeight="1">
      <c r="A365" s="327"/>
      <c r="B365" s="327"/>
      <c r="C365" s="327"/>
      <c r="D365" s="327"/>
      <c r="E365" s="327"/>
    </row>
    <row r="366" ht="22.5" customHeight="1">
      <c r="A366" s="327"/>
      <c r="B366" s="327"/>
      <c r="C366" s="327"/>
      <c r="D366" s="327"/>
      <c r="E366" s="327"/>
    </row>
    <row r="367" ht="22.5" customHeight="1">
      <c r="A367" s="327"/>
      <c r="B367" s="327"/>
      <c r="C367" s="327"/>
      <c r="D367" s="327"/>
      <c r="E367" s="327"/>
    </row>
    <row r="368" ht="22.5" customHeight="1">
      <c r="A368" s="327"/>
      <c r="B368" s="327"/>
      <c r="C368" s="327"/>
      <c r="D368" s="327"/>
      <c r="E368" s="327"/>
    </row>
    <row r="369" ht="22.5" customHeight="1">
      <c r="A369" s="327"/>
      <c r="B369" s="327"/>
      <c r="C369" s="327"/>
      <c r="D369" s="327"/>
      <c r="E369" s="327"/>
    </row>
    <row r="370" ht="22.5" customHeight="1">
      <c r="A370" s="327"/>
      <c r="B370" s="327"/>
      <c r="C370" s="327"/>
      <c r="D370" s="327"/>
      <c r="E370" s="327"/>
    </row>
    <row r="371" ht="22.5" customHeight="1">
      <c r="A371" s="327"/>
      <c r="B371" s="327"/>
      <c r="C371" s="327"/>
      <c r="D371" s="327"/>
      <c r="E371" s="327"/>
    </row>
    <row r="372" ht="22.5" customHeight="1">
      <c r="A372" s="327"/>
      <c r="B372" s="327"/>
      <c r="C372" s="327"/>
      <c r="D372" s="327"/>
      <c r="E372" s="327"/>
    </row>
    <row r="373" ht="22.5" customHeight="1">
      <c r="A373" s="327"/>
      <c r="B373" s="327"/>
      <c r="C373" s="327"/>
      <c r="D373" s="327"/>
      <c r="E373" s="327"/>
    </row>
    <row r="374" ht="22.5" customHeight="1">
      <c r="A374" s="327"/>
      <c r="B374" s="327"/>
      <c r="C374" s="327"/>
      <c r="D374" s="327"/>
      <c r="E374" s="327"/>
    </row>
    <row r="375" ht="22.5" customHeight="1">
      <c r="A375" s="327"/>
      <c r="B375" s="327"/>
      <c r="C375" s="327"/>
      <c r="D375" s="327"/>
      <c r="E375" s="327"/>
    </row>
    <row r="376" ht="22.5" customHeight="1">
      <c r="A376" s="327"/>
      <c r="B376" s="327"/>
      <c r="C376" s="327"/>
      <c r="D376" s="327"/>
      <c r="E376" s="327"/>
    </row>
    <row r="377" ht="22.5" customHeight="1">
      <c r="A377" s="327"/>
      <c r="B377" s="327"/>
      <c r="C377" s="327"/>
      <c r="D377" s="327"/>
      <c r="E377" s="327"/>
    </row>
    <row r="378" ht="22.5" customHeight="1">
      <c r="A378" s="327"/>
      <c r="B378" s="327"/>
      <c r="C378" s="327"/>
      <c r="D378" s="327"/>
      <c r="E378" s="327"/>
    </row>
    <row r="379" ht="22.5" customHeight="1">
      <c r="A379" s="327"/>
      <c r="B379" s="327"/>
      <c r="C379" s="327"/>
      <c r="D379" s="327"/>
      <c r="E379" s="327"/>
    </row>
    <row r="380" ht="22.5" customHeight="1">
      <c r="A380" s="327"/>
      <c r="B380" s="327"/>
      <c r="C380" s="327"/>
      <c r="D380" s="327"/>
      <c r="E380" s="327"/>
    </row>
    <row r="381" ht="22.5" customHeight="1">
      <c r="A381" s="327"/>
      <c r="B381" s="327"/>
      <c r="C381" s="327"/>
      <c r="D381" s="327"/>
      <c r="E381" s="327"/>
    </row>
    <row r="382" ht="22.5" customHeight="1">
      <c r="A382" s="327"/>
      <c r="B382" s="327"/>
      <c r="C382" s="327"/>
      <c r="D382" s="327"/>
      <c r="E382" s="327"/>
    </row>
    <row r="383" ht="22.5" customHeight="1">
      <c r="A383" s="327"/>
      <c r="B383" s="327"/>
      <c r="C383" s="327"/>
      <c r="D383" s="327"/>
      <c r="E383" s="327"/>
    </row>
    <row r="384" ht="22.5" customHeight="1">
      <c r="A384" s="327"/>
      <c r="B384" s="327"/>
      <c r="C384" s="327"/>
      <c r="D384" s="327"/>
      <c r="E384" s="327"/>
    </row>
    <row r="385" ht="22.5" customHeight="1">
      <c r="A385" s="327"/>
      <c r="B385" s="327"/>
      <c r="C385" s="327"/>
      <c r="D385" s="327"/>
      <c r="E385" s="327"/>
    </row>
    <row r="386" ht="22.5" customHeight="1">
      <c r="A386" s="327"/>
      <c r="B386" s="327"/>
      <c r="C386" s="327"/>
      <c r="D386" s="327"/>
      <c r="E386" s="327"/>
    </row>
    <row r="387" ht="22.5" customHeight="1">
      <c r="A387" s="327"/>
      <c r="B387" s="327"/>
      <c r="C387" s="327"/>
      <c r="D387" s="327"/>
      <c r="E387" s="327"/>
    </row>
    <row r="388" ht="22.5" customHeight="1">
      <c r="A388" s="327"/>
      <c r="B388" s="327"/>
      <c r="C388" s="327"/>
      <c r="D388" s="327"/>
      <c r="E388" s="327"/>
    </row>
    <row r="389" ht="22.5" customHeight="1">
      <c r="A389" s="327"/>
      <c r="B389" s="327"/>
      <c r="C389" s="327"/>
      <c r="D389" s="327"/>
      <c r="E389" s="327"/>
    </row>
    <row r="390" ht="22.5" customHeight="1">
      <c r="A390" s="327"/>
      <c r="B390" s="327"/>
      <c r="C390" s="327"/>
      <c r="D390" s="327"/>
      <c r="E390" s="327"/>
    </row>
    <row r="391" ht="22.5" customHeight="1">
      <c r="A391" s="327"/>
      <c r="B391" s="327"/>
      <c r="C391" s="327"/>
      <c r="D391" s="327"/>
      <c r="E391" s="327"/>
    </row>
    <row r="392" ht="22.5" customHeight="1">
      <c r="A392" s="327"/>
      <c r="B392" s="327"/>
      <c r="C392" s="327"/>
      <c r="D392" s="327"/>
      <c r="E392" s="327"/>
    </row>
    <row r="393" ht="22.5" customHeight="1">
      <c r="A393" s="327"/>
      <c r="B393" s="327"/>
      <c r="C393" s="327"/>
      <c r="D393" s="327"/>
      <c r="E393" s="327"/>
    </row>
    <row r="394" ht="22.5" customHeight="1">
      <c r="A394" s="327"/>
      <c r="B394" s="327"/>
      <c r="C394" s="327"/>
      <c r="D394" s="327"/>
      <c r="E394" s="327"/>
    </row>
    <row r="395" ht="22.5" customHeight="1">
      <c r="A395" s="327"/>
      <c r="B395" s="327"/>
      <c r="C395" s="327"/>
      <c r="D395" s="327"/>
      <c r="E395" s="327"/>
    </row>
    <row r="396" ht="22.5" customHeight="1">
      <c r="A396" s="327"/>
      <c r="B396" s="327"/>
      <c r="C396" s="327"/>
      <c r="D396" s="327"/>
      <c r="E396" s="327"/>
    </row>
    <row r="397" ht="22.5" customHeight="1">
      <c r="A397" s="327"/>
      <c r="B397" s="327"/>
      <c r="C397" s="327"/>
      <c r="D397" s="327"/>
      <c r="E397" s="327"/>
    </row>
    <row r="398" ht="22.5" customHeight="1">
      <c r="A398" s="327"/>
      <c r="B398" s="327"/>
      <c r="C398" s="327"/>
      <c r="D398" s="327"/>
      <c r="E398" s="327"/>
    </row>
    <row r="399" ht="22.5" customHeight="1">
      <c r="A399" s="327"/>
      <c r="B399" s="327"/>
      <c r="C399" s="327"/>
      <c r="D399" s="327"/>
      <c r="E399" s="327"/>
    </row>
    <row r="400" ht="22.5" customHeight="1">
      <c r="A400" s="327"/>
      <c r="B400" s="327"/>
      <c r="C400" s="327"/>
      <c r="D400" s="327"/>
      <c r="E400" s="327"/>
    </row>
    <row r="401" ht="22.5" customHeight="1">
      <c r="A401" s="327"/>
      <c r="B401" s="327"/>
      <c r="C401" s="327"/>
      <c r="D401" s="327"/>
      <c r="E401" s="327"/>
    </row>
    <row r="402" ht="22.5" customHeight="1">
      <c r="A402" s="327"/>
      <c r="B402" s="327"/>
      <c r="C402" s="327"/>
      <c r="D402" s="327"/>
      <c r="E402" s="327"/>
    </row>
    <row r="403" ht="22.5" customHeight="1">
      <c r="A403" s="327"/>
      <c r="B403" s="327"/>
      <c r="C403" s="327"/>
      <c r="D403" s="327"/>
      <c r="E403" s="327"/>
    </row>
    <row r="404" ht="22.5" customHeight="1">
      <c r="A404" s="327"/>
      <c r="B404" s="327"/>
      <c r="C404" s="327"/>
      <c r="D404" s="327"/>
      <c r="E404" s="327"/>
    </row>
    <row r="405" ht="22.5" customHeight="1">
      <c r="A405" s="327"/>
      <c r="B405" s="327"/>
      <c r="C405" s="327"/>
      <c r="D405" s="327"/>
      <c r="E405" s="327"/>
    </row>
    <row r="406" ht="22.5" customHeight="1">
      <c r="A406" s="327"/>
      <c r="B406" s="327"/>
      <c r="C406" s="327"/>
      <c r="D406" s="327"/>
      <c r="E406" s="327"/>
    </row>
    <row r="407" ht="22.5" customHeight="1">
      <c r="A407" s="327"/>
      <c r="B407" s="327"/>
      <c r="C407" s="327"/>
      <c r="D407" s="327"/>
      <c r="E407" s="327"/>
    </row>
    <row r="408" ht="22.5" customHeight="1">
      <c r="A408" s="327"/>
      <c r="B408" s="327"/>
      <c r="C408" s="327"/>
      <c r="D408" s="327"/>
      <c r="E408" s="327"/>
    </row>
    <row r="409" ht="22.5" customHeight="1">
      <c r="A409" s="327"/>
      <c r="B409" s="327"/>
      <c r="C409" s="327"/>
      <c r="D409" s="327"/>
      <c r="E409" s="327"/>
    </row>
    <row r="410" ht="22.5" customHeight="1">
      <c r="A410" s="327"/>
      <c r="B410" s="327"/>
      <c r="C410" s="327"/>
      <c r="D410" s="327"/>
      <c r="E410" s="327"/>
    </row>
    <row r="411" ht="22.5" customHeight="1">
      <c r="A411" s="327"/>
      <c r="B411" s="327"/>
      <c r="C411" s="327"/>
      <c r="D411" s="327"/>
      <c r="E411" s="327"/>
    </row>
    <row r="412" ht="22.5" customHeight="1">
      <c r="A412" s="327"/>
      <c r="B412" s="327"/>
      <c r="C412" s="327"/>
      <c r="D412" s="327"/>
      <c r="E412" s="327"/>
    </row>
    <row r="413" ht="22.5" customHeight="1">
      <c r="A413" s="327"/>
      <c r="B413" s="327"/>
      <c r="C413" s="327"/>
      <c r="D413" s="327"/>
      <c r="E413" s="327"/>
    </row>
    <row r="414" ht="22.5" customHeight="1">
      <c r="A414" s="327"/>
      <c r="B414" s="327"/>
      <c r="C414" s="327"/>
      <c r="D414" s="327"/>
      <c r="E414" s="327"/>
    </row>
    <row r="415" ht="22.5" customHeight="1">
      <c r="A415" s="327"/>
      <c r="B415" s="327"/>
      <c r="C415" s="327"/>
      <c r="D415" s="327"/>
      <c r="E415" s="327"/>
    </row>
    <row r="416" ht="22.5" customHeight="1">
      <c r="A416" s="327"/>
      <c r="B416" s="327"/>
      <c r="C416" s="327"/>
      <c r="D416" s="327"/>
      <c r="E416" s="327"/>
    </row>
    <row r="417" ht="22.5" customHeight="1">
      <c r="A417" s="327"/>
      <c r="B417" s="327"/>
      <c r="C417" s="327"/>
      <c r="D417" s="327"/>
      <c r="E417" s="327"/>
    </row>
    <row r="418" ht="22.5" customHeight="1">
      <c r="A418" s="327"/>
      <c r="B418" s="327"/>
      <c r="C418" s="327"/>
      <c r="D418" s="327"/>
      <c r="E418" s="327"/>
    </row>
    <row r="419" ht="22.5" customHeight="1">
      <c r="A419" s="327"/>
      <c r="B419" s="327"/>
      <c r="C419" s="327"/>
      <c r="D419" s="327"/>
      <c r="E419" s="327"/>
    </row>
    <row r="420" ht="22.5" customHeight="1">
      <c r="A420" s="327"/>
      <c r="B420" s="327"/>
      <c r="C420" s="327"/>
      <c r="D420" s="327"/>
      <c r="E420" s="327"/>
    </row>
    <row r="421" ht="22.5" customHeight="1">
      <c r="A421" s="327"/>
      <c r="B421" s="327"/>
      <c r="C421" s="327"/>
      <c r="D421" s="327"/>
      <c r="E421" s="327"/>
    </row>
    <row r="422" ht="22.5" customHeight="1">
      <c r="A422" s="327"/>
      <c r="B422" s="327"/>
      <c r="C422" s="327"/>
      <c r="D422" s="327"/>
      <c r="E422" s="327"/>
    </row>
    <row r="423" ht="22.5" customHeight="1">
      <c r="A423" s="327"/>
      <c r="B423" s="327"/>
      <c r="C423" s="327"/>
      <c r="D423" s="327"/>
      <c r="E423" s="327"/>
    </row>
    <row r="424" ht="22.5" customHeight="1">
      <c r="A424" s="327"/>
      <c r="B424" s="327"/>
      <c r="C424" s="327"/>
      <c r="D424" s="327"/>
      <c r="E424" s="327"/>
    </row>
    <row r="425" ht="22.5" customHeight="1">
      <c r="A425" s="327"/>
      <c r="B425" s="327"/>
      <c r="C425" s="327"/>
      <c r="D425" s="327"/>
      <c r="E425" s="327"/>
    </row>
    <row r="426" ht="22.5" customHeight="1">
      <c r="A426" s="327"/>
      <c r="B426" s="327"/>
      <c r="C426" s="327"/>
      <c r="D426" s="327"/>
      <c r="E426" s="327"/>
    </row>
    <row r="427" ht="22.5" customHeight="1">
      <c r="A427" s="327"/>
      <c r="B427" s="327"/>
      <c r="C427" s="327"/>
      <c r="D427" s="327"/>
      <c r="E427" s="327"/>
    </row>
    <row r="428" ht="22.5" customHeight="1">
      <c r="A428" s="327"/>
      <c r="B428" s="327"/>
      <c r="C428" s="327"/>
      <c r="D428" s="327"/>
      <c r="E428" s="327"/>
    </row>
    <row r="429" ht="22.5" customHeight="1">
      <c r="A429" s="327"/>
      <c r="B429" s="327"/>
      <c r="C429" s="327"/>
      <c r="D429" s="327"/>
      <c r="E429" s="327"/>
    </row>
    <row r="430" ht="22.5" customHeight="1">
      <c r="A430" s="327"/>
      <c r="B430" s="327"/>
      <c r="C430" s="327"/>
      <c r="D430" s="327"/>
      <c r="E430" s="327"/>
    </row>
    <row r="431" ht="22.5" customHeight="1">
      <c r="A431" s="327"/>
      <c r="B431" s="327"/>
      <c r="C431" s="327"/>
      <c r="D431" s="327"/>
      <c r="E431" s="327"/>
    </row>
    <row r="432" ht="22.5" customHeight="1">
      <c r="A432" s="327"/>
      <c r="B432" s="327"/>
      <c r="C432" s="327"/>
      <c r="D432" s="327"/>
      <c r="E432" s="327"/>
    </row>
    <row r="433" ht="22.5" customHeight="1">
      <c r="A433" s="327"/>
      <c r="B433" s="327"/>
      <c r="C433" s="327"/>
      <c r="D433" s="327"/>
      <c r="E433" s="327"/>
    </row>
    <row r="434" ht="22.5" customHeight="1">
      <c r="A434" s="327"/>
      <c r="B434" s="327"/>
      <c r="C434" s="327"/>
      <c r="D434" s="327"/>
      <c r="E434" s="327"/>
    </row>
    <row r="435" ht="22.5" customHeight="1">
      <c r="A435" s="327"/>
      <c r="B435" s="327"/>
      <c r="C435" s="327"/>
      <c r="D435" s="327"/>
      <c r="E435" s="327"/>
    </row>
    <row r="436" ht="22.5" customHeight="1">
      <c r="A436" s="327"/>
      <c r="B436" s="327"/>
      <c r="C436" s="327"/>
      <c r="D436" s="327"/>
      <c r="E436" s="327"/>
    </row>
    <row r="437" ht="22.5" customHeight="1">
      <c r="A437" s="327"/>
      <c r="B437" s="327"/>
      <c r="C437" s="327"/>
      <c r="D437" s="327"/>
      <c r="E437" s="327"/>
    </row>
    <row r="438" ht="22.5" customHeight="1">
      <c r="A438" s="327"/>
      <c r="B438" s="327"/>
      <c r="C438" s="327"/>
      <c r="D438" s="327"/>
      <c r="E438" s="327"/>
    </row>
    <row r="439" ht="22.5" customHeight="1">
      <c r="A439" s="327"/>
      <c r="B439" s="327"/>
      <c r="C439" s="327"/>
      <c r="D439" s="327"/>
      <c r="E439" s="327"/>
    </row>
    <row r="440" ht="22.5" customHeight="1">
      <c r="A440" s="327"/>
      <c r="B440" s="327"/>
      <c r="C440" s="327"/>
      <c r="D440" s="327"/>
      <c r="E440" s="327"/>
    </row>
    <row r="441" ht="22.5" customHeight="1">
      <c r="A441" s="327"/>
      <c r="B441" s="327"/>
      <c r="C441" s="327"/>
      <c r="D441" s="327"/>
      <c r="E441" s="327"/>
    </row>
    <row r="442" ht="22.5" customHeight="1">
      <c r="A442" s="327"/>
      <c r="B442" s="327"/>
      <c r="C442" s="327"/>
      <c r="D442" s="327"/>
      <c r="E442" s="327"/>
    </row>
    <row r="443" ht="22.5" customHeight="1">
      <c r="A443" s="327"/>
      <c r="B443" s="327"/>
      <c r="C443" s="327"/>
      <c r="D443" s="327"/>
      <c r="E443" s="327"/>
    </row>
    <row r="444" ht="22.5" customHeight="1">
      <c r="A444" s="327"/>
      <c r="B444" s="327"/>
      <c r="C444" s="327"/>
      <c r="D444" s="327"/>
      <c r="E444" s="327"/>
    </row>
    <row r="445" ht="22.5" customHeight="1">
      <c r="A445" s="327"/>
      <c r="B445" s="327"/>
      <c r="C445" s="327"/>
      <c r="D445" s="327"/>
      <c r="E445" s="327"/>
    </row>
    <row r="446" ht="22.5" customHeight="1">
      <c r="A446" s="327"/>
      <c r="B446" s="327"/>
      <c r="C446" s="327"/>
      <c r="D446" s="327"/>
      <c r="E446" s="327"/>
    </row>
    <row r="447" ht="22.5" customHeight="1">
      <c r="A447" s="327"/>
      <c r="B447" s="327"/>
      <c r="C447" s="327"/>
      <c r="D447" s="327"/>
      <c r="E447" s="327"/>
    </row>
    <row r="448" ht="22.5" customHeight="1">
      <c r="A448" s="327"/>
      <c r="B448" s="327"/>
      <c r="C448" s="327"/>
      <c r="D448" s="327"/>
      <c r="E448" s="327"/>
    </row>
    <row r="449" ht="22.5" customHeight="1">
      <c r="A449" s="327"/>
      <c r="B449" s="327"/>
      <c r="C449" s="327"/>
      <c r="D449" s="327"/>
      <c r="E449" s="327"/>
    </row>
    <row r="450" ht="22.5" customHeight="1">
      <c r="A450" s="327"/>
      <c r="B450" s="327"/>
      <c r="C450" s="327"/>
      <c r="D450" s="327"/>
      <c r="E450" s="327"/>
    </row>
    <row r="451" ht="22.5" customHeight="1">
      <c r="A451" s="327"/>
      <c r="B451" s="327"/>
      <c r="C451" s="327"/>
      <c r="D451" s="327"/>
      <c r="E451" s="327"/>
    </row>
    <row r="452" ht="22.5" customHeight="1">
      <c r="A452" s="327"/>
      <c r="B452" s="327"/>
      <c r="C452" s="327"/>
      <c r="D452" s="327"/>
      <c r="E452" s="327"/>
    </row>
    <row r="453" ht="22.5" customHeight="1">
      <c r="A453" s="327"/>
      <c r="B453" s="327"/>
      <c r="C453" s="327"/>
      <c r="D453" s="327"/>
      <c r="E453" s="327"/>
    </row>
    <row r="454" ht="22.5" customHeight="1">
      <c r="A454" s="327"/>
      <c r="B454" s="327"/>
      <c r="C454" s="327"/>
      <c r="D454" s="327"/>
      <c r="E454" s="327"/>
    </row>
    <row r="455" ht="22.5" customHeight="1">
      <c r="A455" s="327"/>
      <c r="B455" s="327"/>
      <c r="C455" s="327"/>
      <c r="D455" s="327"/>
      <c r="E455" s="327"/>
    </row>
    <row r="456" ht="22.5" customHeight="1">
      <c r="A456" s="327"/>
      <c r="B456" s="327"/>
      <c r="C456" s="327"/>
      <c r="D456" s="327"/>
      <c r="E456" s="327"/>
    </row>
    <row r="457" ht="22.5" customHeight="1">
      <c r="A457" s="327"/>
      <c r="B457" s="327"/>
      <c r="C457" s="327"/>
      <c r="D457" s="327"/>
      <c r="E457" s="327"/>
    </row>
    <row r="458" ht="22.5" customHeight="1">
      <c r="A458" s="327"/>
      <c r="B458" s="327"/>
      <c r="C458" s="327"/>
      <c r="D458" s="327"/>
      <c r="E458" s="327"/>
    </row>
    <row r="459" ht="22.5" customHeight="1">
      <c r="A459" s="327"/>
      <c r="B459" s="327"/>
      <c r="C459" s="327"/>
      <c r="D459" s="327"/>
      <c r="E459" s="327"/>
    </row>
    <row r="460" ht="22.5" customHeight="1">
      <c r="A460" s="327"/>
      <c r="B460" s="327"/>
      <c r="C460" s="327"/>
      <c r="D460" s="327"/>
      <c r="E460" s="327"/>
    </row>
    <row r="461" ht="22.5" customHeight="1">
      <c r="A461" s="327"/>
      <c r="B461" s="327"/>
      <c r="C461" s="327"/>
      <c r="D461" s="327"/>
      <c r="E461" s="327"/>
    </row>
    <row r="462" ht="22.5" customHeight="1">
      <c r="A462" s="327"/>
      <c r="B462" s="327"/>
      <c r="C462" s="327"/>
      <c r="D462" s="327"/>
      <c r="E462" s="327"/>
    </row>
    <row r="463" ht="22.5" customHeight="1">
      <c r="A463" s="327"/>
      <c r="B463" s="327"/>
      <c r="C463" s="327"/>
      <c r="D463" s="327"/>
      <c r="E463" s="327"/>
    </row>
    <row r="464" ht="22.5" customHeight="1">
      <c r="A464" s="327"/>
      <c r="B464" s="327"/>
      <c r="C464" s="327"/>
      <c r="D464" s="327"/>
      <c r="E464" s="327"/>
    </row>
    <row r="465" ht="22.5" customHeight="1">
      <c r="A465" s="327"/>
      <c r="B465" s="327"/>
      <c r="C465" s="327"/>
      <c r="D465" s="327"/>
      <c r="E465" s="327"/>
    </row>
    <row r="466" ht="22.5" customHeight="1">
      <c r="A466" s="327"/>
      <c r="B466" s="327"/>
      <c r="C466" s="327"/>
      <c r="D466" s="327"/>
      <c r="E466" s="327"/>
    </row>
    <row r="467" ht="22.5" customHeight="1">
      <c r="A467" s="327"/>
      <c r="B467" s="327"/>
      <c r="C467" s="327"/>
      <c r="D467" s="327"/>
      <c r="E467" s="327"/>
    </row>
    <row r="468" ht="22.5" customHeight="1">
      <c r="A468" s="327"/>
      <c r="B468" s="327"/>
      <c r="C468" s="327"/>
      <c r="D468" s="327"/>
      <c r="E468" s="327"/>
    </row>
    <row r="469" ht="22.5" customHeight="1">
      <c r="A469" s="327"/>
      <c r="B469" s="327"/>
      <c r="C469" s="327"/>
      <c r="D469" s="327"/>
      <c r="E469" s="327"/>
    </row>
    <row r="470" ht="22.5" customHeight="1">
      <c r="A470" s="327"/>
      <c r="B470" s="327"/>
      <c r="C470" s="327"/>
      <c r="D470" s="327"/>
      <c r="E470" s="327"/>
    </row>
    <row r="471" ht="22.5" customHeight="1">
      <c r="A471" s="327"/>
      <c r="B471" s="327"/>
      <c r="C471" s="327"/>
      <c r="D471" s="327"/>
      <c r="E471" s="327"/>
    </row>
    <row r="472" ht="22.5" customHeight="1">
      <c r="A472" s="327"/>
      <c r="B472" s="327"/>
      <c r="C472" s="327"/>
      <c r="D472" s="327"/>
      <c r="E472" s="327"/>
    </row>
    <row r="473" ht="22.5" customHeight="1">
      <c r="A473" s="327"/>
      <c r="B473" s="327"/>
      <c r="C473" s="327"/>
      <c r="D473" s="327"/>
      <c r="E473" s="327"/>
    </row>
    <row r="474" ht="22.5" customHeight="1">
      <c r="A474" s="327"/>
      <c r="B474" s="327"/>
      <c r="C474" s="327"/>
      <c r="D474" s="327"/>
      <c r="E474" s="327"/>
    </row>
    <row r="475" ht="22.5" customHeight="1">
      <c r="A475" s="327"/>
      <c r="B475" s="327"/>
      <c r="C475" s="327"/>
      <c r="D475" s="327"/>
      <c r="E475" s="327"/>
    </row>
    <row r="476" ht="22.5" customHeight="1">
      <c r="A476" s="327"/>
      <c r="B476" s="327"/>
      <c r="C476" s="327"/>
      <c r="D476" s="327"/>
      <c r="E476" s="327"/>
    </row>
    <row r="477" ht="22.5" customHeight="1">
      <c r="A477" s="327"/>
      <c r="B477" s="327"/>
      <c r="C477" s="327"/>
      <c r="D477" s="327"/>
      <c r="E477" s="327"/>
    </row>
    <row r="478" ht="22.5" customHeight="1">
      <c r="A478" s="327"/>
      <c r="B478" s="327"/>
      <c r="C478" s="327"/>
      <c r="D478" s="327"/>
      <c r="E478" s="327"/>
    </row>
    <row r="479" ht="22.5" customHeight="1">
      <c r="A479" s="327"/>
      <c r="B479" s="327"/>
      <c r="C479" s="327"/>
      <c r="D479" s="327"/>
      <c r="E479" s="327"/>
    </row>
    <row r="480" ht="22.5" customHeight="1">
      <c r="A480" s="327"/>
      <c r="B480" s="327"/>
      <c r="C480" s="327"/>
      <c r="D480" s="327"/>
      <c r="E480" s="327"/>
    </row>
    <row r="481" ht="22.5" customHeight="1">
      <c r="A481" s="327"/>
      <c r="B481" s="327"/>
      <c r="C481" s="327"/>
      <c r="D481" s="327"/>
      <c r="E481" s="327"/>
    </row>
    <row r="482" ht="22.5" customHeight="1">
      <c r="A482" s="327"/>
      <c r="B482" s="327"/>
      <c r="C482" s="327"/>
      <c r="D482" s="327"/>
      <c r="E482" s="327"/>
    </row>
    <row r="483" ht="22.5" customHeight="1">
      <c r="A483" s="327"/>
      <c r="B483" s="327"/>
      <c r="C483" s="327"/>
      <c r="D483" s="327"/>
      <c r="E483" s="327"/>
    </row>
    <row r="484" ht="22.5" customHeight="1">
      <c r="A484" s="327"/>
      <c r="B484" s="327"/>
      <c r="C484" s="327"/>
      <c r="D484" s="327"/>
      <c r="E484" s="327"/>
    </row>
    <row r="485" ht="22.5" customHeight="1">
      <c r="A485" s="327"/>
      <c r="B485" s="327"/>
      <c r="C485" s="327"/>
      <c r="D485" s="327"/>
      <c r="E485" s="327"/>
    </row>
    <row r="486" ht="22.5" customHeight="1">
      <c r="A486" s="327"/>
      <c r="B486" s="327"/>
      <c r="C486" s="327"/>
      <c r="D486" s="327"/>
      <c r="E486" s="327"/>
    </row>
    <row r="487" ht="22.5" customHeight="1">
      <c r="A487" s="327"/>
      <c r="B487" s="327"/>
      <c r="C487" s="327"/>
      <c r="D487" s="327"/>
      <c r="E487" s="327"/>
    </row>
    <row r="488" ht="22.5" customHeight="1">
      <c r="A488" s="327"/>
      <c r="B488" s="327"/>
      <c r="C488" s="327"/>
      <c r="D488" s="327"/>
      <c r="E488" s="327"/>
    </row>
    <row r="489" ht="22.5" customHeight="1">
      <c r="A489" s="327"/>
      <c r="B489" s="327"/>
      <c r="C489" s="327"/>
      <c r="D489" s="327"/>
      <c r="E489" s="327"/>
    </row>
    <row r="490" ht="22.5" customHeight="1">
      <c r="A490" s="327"/>
      <c r="B490" s="327"/>
      <c r="C490" s="327"/>
      <c r="D490" s="327"/>
      <c r="E490" s="327"/>
    </row>
    <row r="491" ht="22.5" customHeight="1">
      <c r="A491" s="327"/>
      <c r="B491" s="327"/>
      <c r="C491" s="327"/>
      <c r="D491" s="327"/>
      <c r="E491" s="327"/>
    </row>
    <row r="492" ht="22.5" customHeight="1">
      <c r="A492" s="327"/>
      <c r="B492" s="327"/>
      <c r="C492" s="327"/>
      <c r="D492" s="327"/>
      <c r="E492" s="327"/>
    </row>
    <row r="493" ht="22.5" customHeight="1">
      <c r="A493" s="327"/>
      <c r="B493" s="327"/>
      <c r="C493" s="327"/>
      <c r="D493" s="327"/>
      <c r="E493" s="327"/>
    </row>
    <row r="494" ht="22.5" customHeight="1">
      <c r="A494" s="327"/>
      <c r="B494" s="327"/>
      <c r="C494" s="327"/>
      <c r="D494" s="327"/>
      <c r="E494" s="327"/>
    </row>
    <row r="495" ht="22.5" customHeight="1">
      <c r="A495" s="327"/>
      <c r="B495" s="327"/>
      <c r="C495" s="327"/>
      <c r="D495" s="327"/>
      <c r="E495" s="327"/>
    </row>
    <row r="496" ht="22.5" customHeight="1">
      <c r="A496" s="327"/>
      <c r="B496" s="327"/>
      <c r="C496" s="327"/>
      <c r="D496" s="327"/>
      <c r="E496" s="327"/>
    </row>
    <row r="497" ht="22.5" customHeight="1">
      <c r="A497" s="327"/>
      <c r="B497" s="327"/>
      <c r="C497" s="327"/>
      <c r="D497" s="327"/>
      <c r="E497" s="327"/>
    </row>
    <row r="498" ht="22.5" customHeight="1">
      <c r="A498" s="327"/>
      <c r="B498" s="327"/>
      <c r="C498" s="327"/>
      <c r="D498" s="327"/>
      <c r="E498" s="327"/>
    </row>
    <row r="499" ht="22.5" customHeight="1">
      <c r="A499" s="327"/>
      <c r="B499" s="327"/>
      <c r="C499" s="327"/>
      <c r="D499" s="327"/>
      <c r="E499" s="327"/>
    </row>
    <row r="500" ht="22.5" customHeight="1">
      <c r="A500" s="327"/>
      <c r="B500" s="327"/>
      <c r="C500" s="327"/>
      <c r="D500" s="327"/>
      <c r="E500" s="327"/>
    </row>
    <row r="501" ht="22.5" customHeight="1">
      <c r="A501" s="327"/>
      <c r="B501" s="327"/>
      <c r="C501" s="327"/>
      <c r="D501" s="327"/>
      <c r="E501" s="327"/>
    </row>
    <row r="502" ht="22.5" customHeight="1">
      <c r="A502" s="327"/>
      <c r="B502" s="327"/>
      <c r="C502" s="327"/>
      <c r="D502" s="327"/>
      <c r="E502" s="327"/>
    </row>
    <row r="503" ht="22.5" customHeight="1">
      <c r="A503" s="327"/>
      <c r="B503" s="327"/>
      <c r="C503" s="327"/>
      <c r="D503" s="327"/>
      <c r="E503" s="327"/>
    </row>
    <row r="504" ht="22.5" customHeight="1">
      <c r="A504" s="327"/>
      <c r="B504" s="327"/>
      <c r="C504" s="327"/>
      <c r="D504" s="327"/>
      <c r="E504" s="327"/>
    </row>
    <row r="505" ht="22.5" customHeight="1">
      <c r="A505" s="327"/>
      <c r="B505" s="327"/>
      <c r="C505" s="327"/>
      <c r="D505" s="327"/>
      <c r="E505" s="327"/>
    </row>
    <row r="506" ht="22.5" customHeight="1">
      <c r="A506" s="327"/>
      <c r="B506" s="327"/>
      <c r="C506" s="327"/>
      <c r="D506" s="327"/>
      <c r="E506" s="327"/>
    </row>
    <row r="507" ht="22.5" customHeight="1">
      <c r="A507" s="327"/>
      <c r="B507" s="327"/>
      <c r="C507" s="327"/>
      <c r="D507" s="327"/>
      <c r="E507" s="327"/>
    </row>
    <row r="508" ht="22.5" customHeight="1">
      <c r="A508" s="327"/>
      <c r="B508" s="327"/>
      <c r="C508" s="327"/>
      <c r="D508" s="327"/>
      <c r="E508" s="327"/>
    </row>
    <row r="509" ht="22.5" customHeight="1">
      <c r="A509" s="327"/>
      <c r="B509" s="327"/>
      <c r="C509" s="327"/>
      <c r="D509" s="327"/>
      <c r="E509" s="327"/>
    </row>
    <row r="510" ht="22.5" customHeight="1">
      <c r="A510" s="327"/>
      <c r="B510" s="327"/>
      <c r="C510" s="327"/>
      <c r="D510" s="327"/>
      <c r="E510" s="327"/>
    </row>
    <row r="511" ht="22.5" customHeight="1">
      <c r="A511" s="327"/>
      <c r="B511" s="327"/>
      <c r="C511" s="327"/>
      <c r="D511" s="327"/>
      <c r="E511" s="327"/>
    </row>
    <row r="512" ht="22.5" customHeight="1">
      <c r="A512" s="327"/>
      <c r="B512" s="327"/>
      <c r="C512" s="327"/>
      <c r="D512" s="327"/>
      <c r="E512" s="327"/>
    </row>
    <row r="513" ht="22.5" customHeight="1">
      <c r="A513" s="327"/>
      <c r="B513" s="327"/>
      <c r="C513" s="327"/>
      <c r="D513" s="327"/>
      <c r="E513" s="327"/>
    </row>
    <row r="514" ht="22.5" customHeight="1">
      <c r="A514" s="327"/>
      <c r="B514" s="327"/>
      <c r="C514" s="327"/>
      <c r="D514" s="327"/>
      <c r="E514" s="327"/>
    </row>
    <row r="515" ht="22.5" customHeight="1">
      <c r="A515" s="327"/>
      <c r="B515" s="327"/>
      <c r="C515" s="327"/>
      <c r="D515" s="327"/>
      <c r="E515" s="327"/>
    </row>
    <row r="516" ht="22.5" customHeight="1">
      <c r="A516" s="327"/>
      <c r="B516" s="327"/>
      <c r="C516" s="327"/>
      <c r="D516" s="327"/>
      <c r="E516" s="327"/>
    </row>
    <row r="517" ht="22.5" customHeight="1">
      <c r="A517" s="327"/>
      <c r="B517" s="327"/>
      <c r="C517" s="327"/>
      <c r="D517" s="327"/>
      <c r="E517" s="327"/>
    </row>
    <row r="518" ht="22.5" customHeight="1">
      <c r="A518" s="327"/>
      <c r="B518" s="327"/>
      <c r="C518" s="327"/>
      <c r="D518" s="327"/>
      <c r="E518" s="327"/>
    </row>
    <row r="519" ht="22.5" customHeight="1">
      <c r="A519" s="327"/>
      <c r="B519" s="327"/>
      <c r="C519" s="327"/>
      <c r="D519" s="327"/>
      <c r="E519" s="327"/>
    </row>
    <row r="520" ht="22.5" customHeight="1">
      <c r="A520" s="327"/>
      <c r="B520" s="327"/>
      <c r="C520" s="327"/>
      <c r="D520" s="327"/>
      <c r="E520" s="327"/>
    </row>
    <row r="521" ht="22.5" customHeight="1">
      <c r="A521" s="327"/>
      <c r="B521" s="327"/>
      <c r="C521" s="327"/>
      <c r="D521" s="327"/>
      <c r="E521" s="327"/>
    </row>
    <row r="522" ht="22.5" customHeight="1">
      <c r="A522" s="327"/>
      <c r="B522" s="327"/>
      <c r="C522" s="327"/>
      <c r="D522" s="327"/>
      <c r="E522" s="327"/>
    </row>
    <row r="523" ht="22.5" customHeight="1">
      <c r="A523" s="327"/>
      <c r="B523" s="327"/>
      <c r="C523" s="327"/>
      <c r="D523" s="327"/>
      <c r="E523" s="327"/>
    </row>
    <row r="524" ht="22.5" customHeight="1">
      <c r="A524" s="327"/>
      <c r="B524" s="327"/>
      <c r="C524" s="327"/>
      <c r="D524" s="327"/>
      <c r="E524" s="327"/>
    </row>
    <row r="525" ht="22.5" customHeight="1">
      <c r="A525" s="327"/>
      <c r="B525" s="327"/>
      <c r="C525" s="327"/>
      <c r="D525" s="327"/>
      <c r="E525" s="327"/>
    </row>
    <row r="526" ht="22.5" customHeight="1">
      <c r="A526" s="327"/>
      <c r="B526" s="327"/>
      <c r="C526" s="327"/>
      <c r="D526" s="327"/>
      <c r="E526" s="327"/>
    </row>
    <row r="527" ht="22.5" customHeight="1">
      <c r="A527" s="327"/>
      <c r="B527" s="327"/>
      <c r="C527" s="327"/>
      <c r="D527" s="327"/>
      <c r="E527" s="327"/>
    </row>
    <row r="528" ht="22.5" customHeight="1">
      <c r="A528" s="327"/>
      <c r="B528" s="327"/>
      <c r="C528" s="327"/>
      <c r="D528" s="327"/>
      <c r="E528" s="327"/>
    </row>
    <row r="529" ht="22.5" customHeight="1">
      <c r="A529" s="327"/>
      <c r="B529" s="327"/>
      <c r="C529" s="327"/>
      <c r="D529" s="327"/>
      <c r="E529" s="327"/>
    </row>
    <row r="530" ht="22.5" customHeight="1">
      <c r="A530" s="327"/>
      <c r="B530" s="327"/>
      <c r="C530" s="327"/>
      <c r="D530" s="327"/>
      <c r="E530" s="327"/>
    </row>
    <row r="531" ht="22.5" customHeight="1">
      <c r="A531" s="327"/>
      <c r="B531" s="327"/>
      <c r="C531" s="327"/>
      <c r="D531" s="327"/>
      <c r="E531" s="327"/>
    </row>
    <row r="532" ht="22.5" customHeight="1">
      <c r="A532" s="327"/>
      <c r="B532" s="327"/>
      <c r="C532" s="327"/>
      <c r="D532" s="327"/>
      <c r="E532" s="327"/>
    </row>
    <row r="533" ht="22.5" customHeight="1">
      <c r="A533" s="327"/>
      <c r="B533" s="327"/>
      <c r="C533" s="327"/>
      <c r="D533" s="327"/>
      <c r="E533" s="327"/>
    </row>
    <row r="534" ht="22.5" customHeight="1">
      <c r="A534" s="327"/>
      <c r="B534" s="327"/>
      <c r="C534" s="327"/>
      <c r="D534" s="327"/>
      <c r="E534" s="327"/>
    </row>
    <row r="535" ht="22.5" customHeight="1">
      <c r="A535" s="327"/>
      <c r="B535" s="327"/>
      <c r="C535" s="327"/>
      <c r="D535" s="327"/>
      <c r="E535" s="327"/>
    </row>
    <row r="536" ht="22.5" customHeight="1">
      <c r="A536" s="327"/>
      <c r="B536" s="327"/>
      <c r="C536" s="327"/>
      <c r="D536" s="327"/>
      <c r="E536" s="327"/>
    </row>
    <row r="537" ht="22.5" customHeight="1">
      <c r="A537" s="327"/>
      <c r="B537" s="327"/>
      <c r="C537" s="327"/>
      <c r="D537" s="327"/>
      <c r="E537" s="327"/>
    </row>
    <row r="538" ht="22.5" customHeight="1">
      <c r="A538" s="327"/>
      <c r="B538" s="327"/>
      <c r="C538" s="327"/>
      <c r="D538" s="327"/>
      <c r="E538" s="327"/>
    </row>
    <row r="539" ht="22.5" customHeight="1">
      <c r="A539" s="327"/>
      <c r="B539" s="327"/>
      <c r="C539" s="327"/>
      <c r="D539" s="327"/>
      <c r="E539" s="327"/>
    </row>
    <row r="540" ht="22.5" customHeight="1">
      <c r="A540" s="327"/>
      <c r="B540" s="327"/>
      <c r="C540" s="327"/>
      <c r="D540" s="327"/>
      <c r="E540" s="327"/>
    </row>
    <row r="541" ht="22.5" customHeight="1">
      <c r="A541" s="327"/>
      <c r="B541" s="327"/>
      <c r="C541" s="327"/>
      <c r="D541" s="327"/>
      <c r="E541" s="327"/>
    </row>
    <row r="542" ht="22.5" customHeight="1">
      <c r="A542" s="327"/>
      <c r="B542" s="327"/>
      <c r="C542" s="327"/>
      <c r="D542" s="327"/>
      <c r="E542" s="327"/>
    </row>
    <row r="543" ht="22.5" customHeight="1">
      <c r="A543" s="327"/>
      <c r="B543" s="327"/>
      <c r="C543" s="327"/>
      <c r="D543" s="327"/>
      <c r="E543" s="327"/>
    </row>
    <row r="544" ht="22.5" customHeight="1">
      <c r="A544" s="327"/>
      <c r="B544" s="327"/>
      <c r="C544" s="327"/>
      <c r="D544" s="327"/>
      <c r="E544" s="327"/>
    </row>
    <row r="545" ht="22.5" customHeight="1">
      <c r="A545" s="327"/>
      <c r="B545" s="327"/>
      <c r="C545" s="327"/>
      <c r="D545" s="327"/>
      <c r="E545" s="327"/>
    </row>
    <row r="546" ht="22.5" customHeight="1">
      <c r="A546" s="327"/>
      <c r="B546" s="327"/>
      <c r="C546" s="327"/>
      <c r="D546" s="327"/>
      <c r="E546" s="327"/>
    </row>
    <row r="547" ht="22.5" customHeight="1">
      <c r="A547" s="327"/>
      <c r="B547" s="327"/>
      <c r="C547" s="327"/>
      <c r="D547" s="327"/>
      <c r="E547" s="327"/>
    </row>
    <row r="548" ht="22.5" customHeight="1">
      <c r="A548" s="327"/>
      <c r="B548" s="327"/>
      <c r="C548" s="327"/>
      <c r="D548" s="327"/>
      <c r="E548" s="327"/>
    </row>
    <row r="549" ht="22.5" customHeight="1">
      <c r="A549" s="327"/>
      <c r="B549" s="327"/>
      <c r="C549" s="327"/>
      <c r="D549" s="327"/>
      <c r="E549" s="327"/>
    </row>
    <row r="550" ht="22.5" customHeight="1">
      <c r="A550" s="327"/>
      <c r="B550" s="327"/>
      <c r="C550" s="327"/>
      <c r="D550" s="327"/>
      <c r="E550" s="327"/>
    </row>
    <row r="551" ht="22.5" customHeight="1">
      <c r="A551" s="327"/>
      <c r="B551" s="327"/>
      <c r="C551" s="327"/>
      <c r="D551" s="327"/>
      <c r="E551" s="327"/>
    </row>
    <row r="552" ht="22.5" customHeight="1">
      <c r="A552" s="327"/>
      <c r="B552" s="327"/>
      <c r="C552" s="327"/>
      <c r="D552" s="327"/>
      <c r="E552" s="327"/>
    </row>
    <row r="553" ht="22.5" customHeight="1">
      <c r="A553" s="327"/>
      <c r="B553" s="327"/>
      <c r="C553" s="327"/>
      <c r="D553" s="327"/>
      <c r="E553" s="327"/>
    </row>
    <row r="554" ht="22.5" customHeight="1">
      <c r="A554" s="327"/>
      <c r="B554" s="327"/>
      <c r="C554" s="327"/>
      <c r="D554" s="327"/>
      <c r="E554" s="327"/>
    </row>
    <row r="555" ht="22.5" customHeight="1">
      <c r="A555" s="327"/>
      <c r="B555" s="327"/>
      <c r="C555" s="327"/>
      <c r="D555" s="327"/>
      <c r="E555" s="327"/>
    </row>
    <row r="556" ht="22.5" customHeight="1">
      <c r="A556" s="327"/>
      <c r="B556" s="327"/>
      <c r="C556" s="327"/>
      <c r="D556" s="327"/>
      <c r="E556" s="327"/>
    </row>
    <row r="557" ht="22.5" customHeight="1">
      <c r="A557" s="327"/>
      <c r="B557" s="327"/>
      <c r="C557" s="327"/>
      <c r="D557" s="327"/>
      <c r="E557" s="327"/>
    </row>
    <row r="558" ht="22.5" customHeight="1">
      <c r="A558" s="327"/>
      <c r="B558" s="327"/>
      <c r="C558" s="327"/>
      <c r="D558" s="327"/>
      <c r="E558" s="327"/>
    </row>
    <row r="559" ht="22.5" customHeight="1">
      <c r="A559" s="327"/>
      <c r="B559" s="327"/>
      <c r="C559" s="327"/>
      <c r="D559" s="327"/>
      <c r="E559" s="327"/>
    </row>
    <row r="560" ht="22.5" customHeight="1">
      <c r="A560" s="327"/>
      <c r="B560" s="327"/>
      <c r="C560" s="327"/>
      <c r="D560" s="327"/>
      <c r="E560" s="327"/>
    </row>
    <row r="561" ht="22.5" customHeight="1">
      <c r="A561" s="327"/>
      <c r="B561" s="327"/>
      <c r="C561" s="327"/>
      <c r="D561" s="327"/>
      <c r="E561" s="327"/>
    </row>
    <row r="562" ht="22.5" customHeight="1">
      <c r="A562" s="327"/>
      <c r="B562" s="327"/>
      <c r="C562" s="327"/>
      <c r="D562" s="327"/>
      <c r="E562" s="327"/>
    </row>
    <row r="563" ht="22.5" customHeight="1">
      <c r="A563" s="327"/>
      <c r="B563" s="327"/>
      <c r="C563" s="327"/>
      <c r="D563" s="327"/>
      <c r="E563" s="327"/>
    </row>
    <row r="564" ht="22.5" customHeight="1">
      <c r="A564" s="327"/>
      <c r="B564" s="327"/>
      <c r="C564" s="327"/>
      <c r="D564" s="327"/>
      <c r="E564" s="327"/>
    </row>
    <row r="565" ht="22.5" customHeight="1">
      <c r="A565" s="327"/>
      <c r="B565" s="327"/>
      <c r="C565" s="327"/>
      <c r="D565" s="327"/>
      <c r="E565" s="327"/>
    </row>
    <row r="566" ht="22.5" customHeight="1">
      <c r="A566" s="327"/>
      <c r="B566" s="327"/>
      <c r="C566" s="327"/>
      <c r="D566" s="327"/>
      <c r="E566" s="327"/>
    </row>
    <row r="567" ht="22.5" customHeight="1">
      <c r="A567" s="327"/>
      <c r="B567" s="327"/>
      <c r="C567" s="327"/>
      <c r="D567" s="327"/>
      <c r="E567" s="327"/>
    </row>
    <row r="568" ht="22.5" customHeight="1">
      <c r="A568" s="327"/>
      <c r="B568" s="327"/>
      <c r="C568" s="327"/>
      <c r="D568" s="327"/>
      <c r="E568" s="327"/>
    </row>
    <row r="569" ht="22.5" customHeight="1">
      <c r="A569" s="327"/>
      <c r="B569" s="327"/>
      <c r="C569" s="327"/>
      <c r="D569" s="327"/>
      <c r="E569" s="327"/>
    </row>
    <row r="570" ht="22.5" customHeight="1">
      <c r="A570" s="327"/>
      <c r="B570" s="327"/>
      <c r="C570" s="327"/>
      <c r="D570" s="327"/>
      <c r="E570" s="327"/>
    </row>
    <row r="571" ht="22.5" customHeight="1">
      <c r="A571" s="327"/>
      <c r="B571" s="327"/>
      <c r="C571" s="327"/>
      <c r="D571" s="327"/>
      <c r="E571" s="327"/>
    </row>
    <row r="572" ht="22.5" customHeight="1">
      <c r="A572" s="327"/>
      <c r="B572" s="327"/>
      <c r="C572" s="327"/>
      <c r="D572" s="327"/>
      <c r="E572" s="327"/>
    </row>
    <row r="573" ht="22.5" customHeight="1">
      <c r="A573" s="327"/>
      <c r="B573" s="327"/>
      <c r="C573" s="327"/>
      <c r="D573" s="327"/>
      <c r="E573" s="327"/>
    </row>
    <row r="574" ht="22.5" customHeight="1">
      <c r="A574" s="327"/>
      <c r="B574" s="327"/>
      <c r="C574" s="327"/>
      <c r="D574" s="327"/>
      <c r="E574" s="327"/>
    </row>
    <row r="575" ht="22.5" customHeight="1">
      <c r="A575" s="327"/>
      <c r="B575" s="327"/>
      <c r="C575" s="327"/>
      <c r="D575" s="327"/>
      <c r="E575" s="327"/>
    </row>
    <row r="576" ht="22.5" customHeight="1">
      <c r="A576" s="327"/>
      <c r="B576" s="327"/>
      <c r="C576" s="327"/>
      <c r="D576" s="327"/>
      <c r="E576" s="327"/>
    </row>
    <row r="577" ht="22.5" customHeight="1">
      <c r="A577" s="327"/>
      <c r="B577" s="327"/>
      <c r="C577" s="327"/>
      <c r="D577" s="327"/>
      <c r="E577" s="327"/>
    </row>
    <row r="578" ht="22.5" customHeight="1">
      <c r="A578" s="327"/>
      <c r="B578" s="327"/>
      <c r="C578" s="327"/>
      <c r="D578" s="327"/>
      <c r="E578" s="327"/>
    </row>
    <row r="579" ht="22.5" customHeight="1">
      <c r="A579" s="327"/>
      <c r="B579" s="327"/>
      <c r="C579" s="327"/>
      <c r="D579" s="327"/>
      <c r="E579" s="327"/>
    </row>
    <row r="580" ht="22.5" customHeight="1">
      <c r="A580" s="327"/>
      <c r="B580" s="327"/>
      <c r="C580" s="327"/>
      <c r="D580" s="327"/>
      <c r="E580" s="327"/>
    </row>
    <row r="581" ht="22.5" customHeight="1">
      <c r="A581" s="327"/>
      <c r="B581" s="327"/>
      <c r="C581" s="327"/>
      <c r="D581" s="327"/>
      <c r="E581" s="327"/>
    </row>
    <row r="582" ht="22.5" customHeight="1">
      <c r="A582" s="327"/>
      <c r="B582" s="327"/>
      <c r="C582" s="327"/>
      <c r="D582" s="327"/>
      <c r="E582" s="327"/>
    </row>
    <row r="583" ht="22.5" customHeight="1">
      <c r="A583" s="327"/>
      <c r="B583" s="327"/>
      <c r="C583" s="327"/>
      <c r="D583" s="327"/>
      <c r="E583" s="327"/>
    </row>
    <row r="584" ht="22.5" customHeight="1">
      <c r="A584" s="327"/>
      <c r="B584" s="327"/>
      <c r="C584" s="327"/>
      <c r="D584" s="327"/>
      <c r="E584" s="327"/>
    </row>
    <row r="585" ht="22.5" customHeight="1">
      <c r="A585" s="327"/>
      <c r="B585" s="327"/>
      <c r="C585" s="327"/>
      <c r="D585" s="327"/>
      <c r="E585" s="327"/>
    </row>
    <row r="586" ht="22.5" customHeight="1">
      <c r="A586" s="327"/>
      <c r="B586" s="327"/>
      <c r="C586" s="327"/>
      <c r="D586" s="327"/>
      <c r="E586" s="327"/>
    </row>
    <row r="587" ht="22.5" customHeight="1">
      <c r="A587" s="327"/>
      <c r="B587" s="327"/>
      <c r="C587" s="327"/>
      <c r="D587" s="327"/>
      <c r="E587" s="327"/>
    </row>
    <row r="588" ht="22.5" customHeight="1">
      <c r="A588" s="327"/>
      <c r="B588" s="327"/>
      <c r="C588" s="327"/>
      <c r="D588" s="327"/>
      <c r="E588" s="327"/>
    </row>
    <row r="589" ht="22.5" customHeight="1">
      <c r="A589" s="327"/>
      <c r="B589" s="327"/>
      <c r="C589" s="327"/>
      <c r="D589" s="327"/>
      <c r="E589" s="327"/>
    </row>
    <row r="590" ht="22.5" customHeight="1">
      <c r="A590" s="327"/>
      <c r="B590" s="327"/>
      <c r="C590" s="327"/>
      <c r="D590" s="327"/>
      <c r="E590" s="327"/>
    </row>
    <row r="591" ht="22.5" customHeight="1">
      <c r="A591" s="327"/>
      <c r="B591" s="327"/>
      <c r="C591" s="327"/>
      <c r="D591" s="327"/>
      <c r="E591" s="327"/>
    </row>
    <row r="592" ht="22.5" customHeight="1">
      <c r="A592" s="327"/>
      <c r="B592" s="327"/>
      <c r="C592" s="327"/>
      <c r="D592" s="327"/>
      <c r="E592" s="327"/>
    </row>
    <row r="593" ht="22.5" customHeight="1">
      <c r="A593" s="327"/>
      <c r="B593" s="327"/>
      <c r="C593" s="327"/>
      <c r="D593" s="327"/>
      <c r="E593" s="327"/>
    </row>
    <row r="594" ht="22.5" customHeight="1">
      <c r="A594" s="327"/>
      <c r="B594" s="327"/>
      <c r="C594" s="327"/>
      <c r="D594" s="327"/>
      <c r="E594" s="327"/>
    </row>
    <row r="595" ht="22.5" customHeight="1">
      <c r="A595" s="327"/>
      <c r="B595" s="327"/>
      <c r="C595" s="327"/>
      <c r="D595" s="327"/>
      <c r="E595" s="327"/>
    </row>
    <row r="596" ht="22.5" customHeight="1">
      <c r="A596" s="327"/>
      <c r="B596" s="327"/>
      <c r="C596" s="327"/>
      <c r="D596" s="327"/>
      <c r="E596" s="327"/>
    </row>
    <row r="597" ht="22.5" customHeight="1">
      <c r="A597" s="327"/>
      <c r="B597" s="327"/>
      <c r="C597" s="327"/>
      <c r="D597" s="327"/>
      <c r="E597" s="327"/>
    </row>
    <row r="598" ht="22.5" customHeight="1">
      <c r="A598" s="327"/>
      <c r="B598" s="327"/>
      <c r="C598" s="327"/>
      <c r="D598" s="327"/>
      <c r="E598" s="327"/>
    </row>
    <row r="599" ht="22.5" customHeight="1">
      <c r="A599" s="327"/>
      <c r="B599" s="327"/>
      <c r="C599" s="327"/>
      <c r="D599" s="327"/>
      <c r="E599" s="327"/>
    </row>
    <row r="600" ht="22.5" customHeight="1">
      <c r="A600" s="327"/>
      <c r="B600" s="327"/>
      <c r="C600" s="327"/>
      <c r="D600" s="327"/>
      <c r="E600" s="327"/>
    </row>
    <row r="601" ht="22.5" customHeight="1">
      <c r="A601" s="327"/>
      <c r="B601" s="327"/>
      <c r="C601" s="327"/>
      <c r="D601" s="327"/>
      <c r="E601" s="327"/>
    </row>
    <row r="602" ht="22.5" customHeight="1">
      <c r="A602" s="327"/>
      <c r="B602" s="327"/>
      <c r="C602" s="327"/>
      <c r="D602" s="327"/>
      <c r="E602" s="327"/>
    </row>
    <row r="603" ht="22.5" customHeight="1">
      <c r="A603" s="327"/>
      <c r="B603" s="327"/>
      <c r="C603" s="327"/>
      <c r="D603" s="327"/>
      <c r="E603" s="327"/>
    </row>
    <row r="604" ht="22.5" customHeight="1">
      <c r="A604" s="327"/>
      <c r="B604" s="327"/>
      <c r="C604" s="327"/>
      <c r="D604" s="327"/>
      <c r="E604" s="327"/>
    </row>
    <row r="605" ht="22.5" customHeight="1">
      <c r="A605" s="327"/>
      <c r="B605" s="327"/>
      <c r="C605" s="327"/>
      <c r="D605" s="327"/>
      <c r="E605" s="327"/>
    </row>
    <row r="606" ht="22.5" customHeight="1">
      <c r="A606" s="327"/>
      <c r="B606" s="327"/>
      <c r="C606" s="327"/>
      <c r="D606" s="327"/>
      <c r="E606" s="327"/>
    </row>
    <row r="607" ht="22.5" customHeight="1">
      <c r="A607" s="327"/>
      <c r="B607" s="327"/>
      <c r="C607" s="327"/>
      <c r="D607" s="327"/>
      <c r="E607" s="327"/>
    </row>
    <row r="608" ht="22.5" customHeight="1">
      <c r="A608" s="327"/>
      <c r="B608" s="327"/>
      <c r="C608" s="327"/>
      <c r="D608" s="327"/>
      <c r="E608" s="327"/>
    </row>
    <row r="609" ht="22.5" customHeight="1">
      <c r="A609" s="327"/>
      <c r="B609" s="327"/>
      <c r="C609" s="327"/>
      <c r="D609" s="327"/>
      <c r="E609" s="327"/>
    </row>
    <row r="610" ht="22.5" customHeight="1">
      <c r="A610" s="327"/>
      <c r="B610" s="327"/>
      <c r="C610" s="327"/>
      <c r="D610" s="327"/>
      <c r="E610" s="327"/>
    </row>
    <row r="611" ht="22.5" customHeight="1">
      <c r="A611" s="327"/>
      <c r="B611" s="327"/>
      <c r="C611" s="327"/>
      <c r="D611" s="327"/>
      <c r="E611" s="327"/>
    </row>
    <row r="612" ht="22.5" customHeight="1">
      <c r="A612" s="327"/>
      <c r="B612" s="327"/>
      <c r="C612" s="327"/>
      <c r="D612" s="327"/>
      <c r="E612" s="327"/>
    </row>
    <row r="613" ht="22.5" customHeight="1">
      <c r="A613" s="327"/>
      <c r="B613" s="327"/>
      <c r="C613" s="327"/>
      <c r="D613" s="327"/>
      <c r="E613" s="327"/>
    </row>
    <row r="614" ht="22.5" customHeight="1">
      <c r="A614" s="327"/>
      <c r="B614" s="327"/>
      <c r="C614" s="327"/>
      <c r="D614" s="327"/>
      <c r="E614" s="327"/>
    </row>
    <row r="615" ht="22.5" customHeight="1">
      <c r="A615" s="327"/>
      <c r="B615" s="327"/>
      <c r="C615" s="327"/>
      <c r="D615" s="327"/>
      <c r="E615" s="327"/>
    </row>
    <row r="616" ht="22.5" customHeight="1">
      <c r="A616" s="327"/>
      <c r="B616" s="327"/>
      <c r="C616" s="327"/>
      <c r="D616" s="327"/>
      <c r="E616" s="327"/>
    </row>
    <row r="617" ht="22.5" customHeight="1">
      <c r="A617" s="327"/>
      <c r="B617" s="327"/>
      <c r="C617" s="327"/>
      <c r="D617" s="327"/>
      <c r="E617" s="327"/>
    </row>
    <row r="618" ht="22.5" customHeight="1">
      <c r="A618" s="327"/>
      <c r="B618" s="327"/>
      <c r="C618" s="327"/>
      <c r="D618" s="327"/>
      <c r="E618" s="327"/>
    </row>
    <row r="619" ht="22.5" customHeight="1">
      <c r="A619" s="327"/>
      <c r="B619" s="327"/>
      <c r="C619" s="327"/>
      <c r="D619" s="327"/>
      <c r="E619" s="327"/>
    </row>
    <row r="620" ht="22.5" customHeight="1">
      <c r="A620" s="327"/>
      <c r="B620" s="327"/>
      <c r="C620" s="327"/>
      <c r="D620" s="327"/>
      <c r="E620" s="327"/>
    </row>
    <row r="621" ht="22.5" customHeight="1">
      <c r="A621" s="327"/>
      <c r="B621" s="327"/>
      <c r="C621" s="327"/>
      <c r="D621" s="327"/>
      <c r="E621" s="327"/>
    </row>
    <row r="622" ht="22.5" customHeight="1">
      <c r="A622" s="327"/>
      <c r="B622" s="327"/>
      <c r="C622" s="327"/>
      <c r="D622" s="327"/>
      <c r="E622" s="327"/>
    </row>
    <row r="623" ht="22.5" customHeight="1">
      <c r="A623" s="327"/>
      <c r="B623" s="327"/>
      <c r="C623" s="327"/>
      <c r="D623" s="327"/>
      <c r="E623" s="327"/>
    </row>
    <row r="624" ht="22.5" customHeight="1">
      <c r="A624" s="327"/>
      <c r="B624" s="327"/>
      <c r="C624" s="327"/>
      <c r="D624" s="327"/>
      <c r="E624" s="327"/>
    </row>
    <row r="625" ht="22.5" customHeight="1">
      <c r="A625" s="327"/>
      <c r="B625" s="327"/>
      <c r="C625" s="327"/>
      <c r="D625" s="327"/>
      <c r="E625" s="327"/>
    </row>
    <row r="626" ht="22.5" customHeight="1">
      <c r="A626" s="327"/>
      <c r="B626" s="327"/>
      <c r="C626" s="327"/>
      <c r="D626" s="327"/>
      <c r="E626" s="327"/>
    </row>
    <row r="627" ht="22.5" customHeight="1">
      <c r="A627" s="327"/>
      <c r="B627" s="327"/>
      <c r="C627" s="327"/>
      <c r="D627" s="327"/>
      <c r="E627" s="327"/>
    </row>
    <row r="628" ht="22.5" customHeight="1">
      <c r="A628" s="327"/>
      <c r="B628" s="327"/>
      <c r="C628" s="327"/>
      <c r="D628" s="327"/>
      <c r="E628" s="327"/>
    </row>
    <row r="629" ht="22.5" customHeight="1">
      <c r="A629" s="327"/>
      <c r="B629" s="327"/>
      <c r="C629" s="327"/>
      <c r="D629" s="327"/>
      <c r="E629" s="327"/>
    </row>
    <row r="630" ht="22.5" customHeight="1">
      <c r="A630" s="327"/>
      <c r="B630" s="327"/>
      <c r="C630" s="327"/>
      <c r="D630" s="327"/>
      <c r="E630" s="327"/>
    </row>
    <row r="631" ht="22.5" customHeight="1">
      <c r="A631" s="327"/>
      <c r="B631" s="327"/>
      <c r="C631" s="327"/>
      <c r="D631" s="327"/>
      <c r="E631" s="327"/>
    </row>
    <row r="632" ht="22.5" customHeight="1">
      <c r="A632" s="327"/>
      <c r="B632" s="327"/>
      <c r="C632" s="327"/>
      <c r="D632" s="327"/>
      <c r="E632" s="327"/>
    </row>
    <row r="633" ht="22.5" customHeight="1">
      <c r="A633" s="327"/>
      <c r="B633" s="327"/>
      <c r="C633" s="327"/>
      <c r="D633" s="327"/>
      <c r="E633" s="327"/>
    </row>
    <row r="634" ht="22.5" customHeight="1">
      <c r="A634" s="327"/>
      <c r="B634" s="327"/>
      <c r="C634" s="327"/>
      <c r="D634" s="327"/>
      <c r="E634" s="327"/>
    </row>
    <row r="635" ht="22.5" customHeight="1">
      <c r="A635" s="327"/>
      <c r="B635" s="327"/>
      <c r="C635" s="327"/>
      <c r="D635" s="327"/>
      <c r="E635" s="327"/>
    </row>
    <row r="636" ht="22.5" customHeight="1">
      <c r="A636" s="327"/>
      <c r="B636" s="327"/>
      <c r="C636" s="327"/>
      <c r="D636" s="327"/>
      <c r="E636" s="327"/>
    </row>
    <row r="637" ht="22.5" customHeight="1">
      <c r="A637" s="327"/>
      <c r="B637" s="327"/>
      <c r="C637" s="327"/>
      <c r="D637" s="327"/>
      <c r="E637" s="327"/>
    </row>
    <row r="638" ht="22.5" customHeight="1">
      <c r="A638" s="327"/>
      <c r="B638" s="327"/>
      <c r="C638" s="327"/>
      <c r="D638" s="327"/>
      <c r="E638" s="327"/>
    </row>
    <row r="639" ht="22.5" customHeight="1">
      <c r="A639" s="327"/>
      <c r="B639" s="327"/>
      <c r="C639" s="327"/>
      <c r="D639" s="327"/>
      <c r="E639" s="327"/>
    </row>
    <row r="640" ht="22.5" customHeight="1">
      <c r="A640" s="327"/>
      <c r="B640" s="327"/>
      <c r="C640" s="327"/>
      <c r="D640" s="327"/>
      <c r="E640" s="327"/>
    </row>
    <row r="641" ht="22.5" customHeight="1">
      <c r="A641" s="327"/>
      <c r="B641" s="327"/>
      <c r="C641" s="327"/>
      <c r="D641" s="327"/>
      <c r="E641" s="327"/>
    </row>
    <row r="642" ht="22.5" customHeight="1">
      <c r="A642" s="327"/>
      <c r="B642" s="327"/>
      <c r="C642" s="327"/>
      <c r="D642" s="327"/>
      <c r="E642" s="327"/>
    </row>
    <row r="643" ht="22.5" customHeight="1">
      <c r="A643" s="327"/>
      <c r="B643" s="327"/>
      <c r="C643" s="327"/>
      <c r="D643" s="327"/>
      <c r="E643" s="327"/>
    </row>
    <row r="644" ht="22.5" customHeight="1">
      <c r="A644" s="327"/>
      <c r="B644" s="327"/>
      <c r="C644" s="327"/>
      <c r="D644" s="327"/>
      <c r="E644" s="327"/>
    </row>
    <row r="645" ht="22.5" customHeight="1">
      <c r="A645" s="327"/>
      <c r="B645" s="327"/>
      <c r="C645" s="327"/>
      <c r="D645" s="327"/>
      <c r="E645" s="327"/>
    </row>
    <row r="646" ht="22.5" customHeight="1">
      <c r="A646" s="327"/>
      <c r="B646" s="327"/>
      <c r="C646" s="327"/>
      <c r="D646" s="327"/>
      <c r="E646" s="327"/>
    </row>
    <row r="647" ht="22.5" customHeight="1">
      <c r="A647" s="327"/>
      <c r="B647" s="327"/>
      <c r="C647" s="327"/>
      <c r="D647" s="327"/>
      <c r="E647" s="327"/>
    </row>
    <row r="648" ht="22.5" customHeight="1">
      <c r="A648" s="327"/>
      <c r="B648" s="327"/>
      <c r="C648" s="327"/>
      <c r="D648" s="327"/>
      <c r="E648" s="327"/>
    </row>
    <row r="649" ht="22.5" customHeight="1">
      <c r="A649" s="327"/>
      <c r="B649" s="327"/>
      <c r="C649" s="327"/>
      <c r="D649" s="327"/>
      <c r="E649" s="327"/>
    </row>
    <row r="650" ht="22.5" customHeight="1">
      <c r="A650" s="327"/>
      <c r="B650" s="327"/>
      <c r="C650" s="327"/>
      <c r="D650" s="327"/>
      <c r="E650" s="327"/>
    </row>
    <row r="651" ht="22.5" customHeight="1">
      <c r="A651" s="327"/>
      <c r="B651" s="327"/>
      <c r="C651" s="327"/>
      <c r="D651" s="327"/>
      <c r="E651" s="327"/>
    </row>
    <row r="652" ht="22.5" customHeight="1">
      <c r="A652" s="327"/>
      <c r="B652" s="327"/>
      <c r="C652" s="327"/>
      <c r="D652" s="327"/>
      <c r="E652" s="327"/>
    </row>
    <row r="653" ht="22.5" customHeight="1">
      <c r="A653" s="327"/>
      <c r="B653" s="327"/>
      <c r="C653" s="327"/>
      <c r="D653" s="327"/>
      <c r="E653" s="327"/>
    </row>
    <row r="654" ht="22.5" customHeight="1">
      <c r="A654" s="327"/>
      <c r="B654" s="327"/>
      <c r="C654" s="327"/>
      <c r="D654" s="327"/>
      <c r="E654" s="327"/>
    </row>
    <row r="655" ht="22.5" customHeight="1">
      <c r="A655" s="327"/>
      <c r="B655" s="327"/>
      <c r="C655" s="327"/>
      <c r="D655" s="327"/>
      <c r="E655" s="327"/>
    </row>
    <row r="656" ht="22.5" customHeight="1">
      <c r="A656" s="327"/>
      <c r="B656" s="327"/>
      <c r="C656" s="327"/>
      <c r="D656" s="327"/>
      <c r="E656" s="327"/>
    </row>
    <row r="657" ht="22.5" customHeight="1">
      <c r="A657" s="327"/>
      <c r="B657" s="327"/>
      <c r="C657" s="327"/>
      <c r="D657" s="327"/>
      <c r="E657" s="327"/>
    </row>
    <row r="658" ht="22.5" customHeight="1">
      <c r="A658" s="327"/>
      <c r="B658" s="327"/>
      <c r="C658" s="327"/>
      <c r="D658" s="327"/>
      <c r="E658" s="327"/>
    </row>
    <row r="659" ht="22.5" customHeight="1">
      <c r="A659" s="327"/>
      <c r="B659" s="327"/>
      <c r="C659" s="327"/>
      <c r="D659" s="327"/>
      <c r="E659" s="327"/>
    </row>
    <row r="660" ht="22.5" customHeight="1">
      <c r="A660" s="327"/>
      <c r="B660" s="327"/>
      <c r="C660" s="327"/>
      <c r="D660" s="327"/>
      <c r="E660" s="327"/>
    </row>
    <row r="661" ht="22.5" customHeight="1">
      <c r="A661" s="327"/>
      <c r="B661" s="327"/>
      <c r="C661" s="327"/>
      <c r="D661" s="327"/>
      <c r="E661" s="327"/>
    </row>
    <row r="662" ht="22.5" customHeight="1">
      <c r="A662" s="327"/>
      <c r="B662" s="327"/>
      <c r="C662" s="327"/>
      <c r="D662" s="327"/>
      <c r="E662" s="327"/>
    </row>
    <row r="663" ht="22.5" customHeight="1">
      <c r="A663" s="327"/>
      <c r="B663" s="327"/>
      <c r="C663" s="327"/>
      <c r="D663" s="327"/>
      <c r="E663" s="327"/>
    </row>
    <row r="664" ht="22.5" customHeight="1">
      <c r="A664" s="327"/>
      <c r="B664" s="327"/>
      <c r="C664" s="327"/>
      <c r="D664" s="327"/>
      <c r="E664" s="327"/>
    </row>
    <row r="665" ht="22.5" customHeight="1">
      <c r="A665" s="327"/>
      <c r="B665" s="327"/>
      <c r="C665" s="327"/>
      <c r="D665" s="327"/>
      <c r="E665" s="327"/>
    </row>
    <row r="666" ht="22.5" customHeight="1">
      <c r="A666" s="327"/>
      <c r="B666" s="327"/>
      <c r="C666" s="327"/>
      <c r="D666" s="327"/>
      <c r="E666" s="327"/>
    </row>
    <row r="667" ht="22.5" customHeight="1">
      <c r="A667" s="327"/>
      <c r="B667" s="327"/>
      <c r="C667" s="327"/>
      <c r="D667" s="327"/>
      <c r="E667" s="327"/>
    </row>
    <row r="668" ht="22.5" customHeight="1">
      <c r="A668" s="327"/>
      <c r="B668" s="327"/>
      <c r="C668" s="327"/>
      <c r="D668" s="327"/>
      <c r="E668" s="327"/>
    </row>
    <row r="669" ht="22.5" customHeight="1">
      <c r="A669" s="327"/>
      <c r="B669" s="327"/>
      <c r="C669" s="327"/>
      <c r="D669" s="327"/>
      <c r="E669" s="327"/>
    </row>
    <row r="670" ht="22.5" customHeight="1">
      <c r="A670" s="327"/>
      <c r="B670" s="327"/>
      <c r="C670" s="327"/>
      <c r="D670" s="327"/>
      <c r="E670" s="327"/>
    </row>
    <row r="671" ht="22.5" customHeight="1">
      <c r="A671" s="327"/>
      <c r="B671" s="327"/>
      <c r="C671" s="327"/>
      <c r="D671" s="327"/>
      <c r="E671" s="327"/>
    </row>
    <row r="672" ht="22.5" customHeight="1">
      <c r="A672" s="327"/>
      <c r="B672" s="327"/>
      <c r="C672" s="327"/>
      <c r="D672" s="327"/>
      <c r="E672" s="327"/>
    </row>
    <row r="673" ht="22.5" customHeight="1">
      <c r="A673" s="327"/>
      <c r="B673" s="327"/>
      <c r="C673" s="327"/>
      <c r="D673" s="327"/>
      <c r="E673" s="327"/>
    </row>
    <row r="674" ht="22.5" customHeight="1">
      <c r="A674" s="327"/>
      <c r="B674" s="327"/>
      <c r="C674" s="327"/>
      <c r="D674" s="327"/>
      <c r="E674" s="327"/>
    </row>
    <row r="675" ht="22.5" customHeight="1">
      <c r="A675" s="327"/>
      <c r="B675" s="327"/>
      <c r="C675" s="327"/>
      <c r="D675" s="327"/>
      <c r="E675" s="327"/>
    </row>
    <row r="676" ht="22.5" customHeight="1">
      <c r="A676" s="327"/>
      <c r="B676" s="327"/>
      <c r="C676" s="327"/>
      <c r="D676" s="327"/>
      <c r="E676" s="327"/>
    </row>
    <row r="677" ht="22.5" customHeight="1">
      <c r="A677" s="327"/>
      <c r="B677" s="327"/>
      <c r="C677" s="327"/>
      <c r="D677" s="327"/>
      <c r="E677" s="327"/>
    </row>
    <row r="678" ht="22.5" customHeight="1">
      <c r="A678" s="327"/>
      <c r="B678" s="327"/>
      <c r="C678" s="327"/>
      <c r="D678" s="327"/>
      <c r="E678" s="327"/>
    </row>
    <row r="679" ht="22.5" customHeight="1">
      <c r="A679" s="327"/>
      <c r="B679" s="327"/>
      <c r="C679" s="327"/>
      <c r="D679" s="327"/>
      <c r="E679" s="327"/>
    </row>
    <row r="680" ht="22.5" customHeight="1">
      <c r="A680" s="327"/>
      <c r="B680" s="327"/>
      <c r="C680" s="327"/>
      <c r="D680" s="327"/>
      <c r="E680" s="327"/>
    </row>
    <row r="681" ht="22.5" customHeight="1">
      <c r="A681" s="327"/>
      <c r="B681" s="327"/>
      <c r="C681" s="327"/>
      <c r="D681" s="327"/>
      <c r="E681" s="327"/>
    </row>
    <row r="682" ht="22.5" customHeight="1">
      <c r="A682" s="327"/>
      <c r="B682" s="327"/>
      <c r="C682" s="327"/>
      <c r="D682" s="327"/>
      <c r="E682" s="327"/>
    </row>
    <row r="683" ht="22.5" customHeight="1">
      <c r="A683" s="327"/>
      <c r="B683" s="327"/>
      <c r="C683" s="327"/>
      <c r="D683" s="327"/>
      <c r="E683" s="327"/>
    </row>
    <row r="684" ht="22.5" customHeight="1">
      <c r="A684" s="327"/>
      <c r="B684" s="327"/>
      <c r="C684" s="327"/>
      <c r="D684" s="327"/>
      <c r="E684" s="327"/>
    </row>
    <row r="685" ht="22.5" customHeight="1">
      <c r="A685" s="327"/>
      <c r="B685" s="327"/>
      <c r="C685" s="327"/>
      <c r="D685" s="327"/>
      <c r="E685" s="327"/>
    </row>
    <row r="686" ht="22.5" customHeight="1">
      <c r="A686" s="327"/>
      <c r="B686" s="327"/>
      <c r="C686" s="327"/>
      <c r="D686" s="327"/>
      <c r="E686" s="327"/>
    </row>
    <row r="687" ht="22.5" customHeight="1">
      <c r="A687" s="327"/>
      <c r="B687" s="327"/>
      <c r="C687" s="327"/>
      <c r="D687" s="327"/>
      <c r="E687" s="327"/>
    </row>
    <row r="688" ht="22.5" customHeight="1">
      <c r="A688" s="327"/>
      <c r="B688" s="327"/>
      <c r="C688" s="327"/>
      <c r="D688" s="327"/>
      <c r="E688" s="327"/>
    </row>
    <row r="689" ht="22.5" customHeight="1">
      <c r="A689" s="327"/>
      <c r="B689" s="327"/>
      <c r="C689" s="327"/>
      <c r="D689" s="327"/>
      <c r="E689" s="327"/>
    </row>
    <row r="690" ht="22.5" customHeight="1">
      <c r="A690" s="327"/>
      <c r="B690" s="327"/>
      <c r="C690" s="327"/>
      <c r="D690" s="327"/>
      <c r="E690" s="327"/>
    </row>
    <row r="691" ht="22.5" customHeight="1">
      <c r="A691" s="327"/>
      <c r="B691" s="327"/>
      <c r="C691" s="327"/>
      <c r="D691" s="327"/>
      <c r="E691" s="327"/>
    </row>
    <row r="692" ht="22.5" customHeight="1">
      <c r="A692" s="327"/>
      <c r="B692" s="327"/>
      <c r="C692" s="327"/>
      <c r="D692" s="327"/>
      <c r="E692" s="327"/>
    </row>
    <row r="693" ht="22.5" customHeight="1">
      <c r="A693" s="327"/>
      <c r="B693" s="327"/>
      <c r="C693" s="327"/>
      <c r="D693" s="327"/>
      <c r="E693" s="327"/>
    </row>
    <row r="694" ht="22.5" customHeight="1">
      <c r="A694" s="327"/>
      <c r="B694" s="327"/>
      <c r="C694" s="327"/>
      <c r="D694" s="327"/>
      <c r="E694" s="327"/>
    </row>
    <row r="695" ht="22.5" customHeight="1">
      <c r="A695" s="327"/>
      <c r="B695" s="327"/>
      <c r="C695" s="327"/>
      <c r="D695" s="327"/>
      <c r="E695" s="327"/>
    </row>
    <row r="696" ht="22.5" customHeight="1">
      <c r="A696" s="327"/>
      <c r="B696" s="327"/>
      <c r="C696" s="327"/>
      <c r="D696" s="327"/>
      <c r="E696" s="327"/>
    </row>
    <row r="697" ht="22.5" customHeight="1">
      <c r="A697" s="327"/>
      <c r="B697" s="327"/>
      <c r="C697" s="327"/>
      <c r="D697" s="327"/>
      <c r="E697" s="327"/>
    </row>
    <row r="698" ht="22.5" customHeight="1">
      <c r="A698" s="327"/>
      <c r="B698" s="327"/>
      <c r="C698" s="327"/>
      <c r="D698" s="327"/>
      <c r="E698" s="327"/>
    </row>
    <row r="699" ht="22.5" customHeight="1">
      <c r="A699" s="327"/>
      <c r="B699" s="327"/>
      <c r="C699" s="327"/>
      <c r="D699" s="327"/>
      <c r="E699" s="327"/>
    </row>
    <row r="700" ht="22.5" customHeight="1">
      <c r="A700" s="327"/>
      <c r="B700" s="327"/>
      <c r="C700" s="327"/>
      <c r="D700" s="327"/>
      <c r="E700" s="327"/>
    </row>
    <row r="701" ht="22.5" customHeight="1">
      <c r="A701" s="327"/>
      <c r="B701" s="327"/>
      <c r="C701" s="327"/>
      <c r="D701" s="327"/>
      <c r="E701" s="327"/>
    </row>
    <row r="702" ht="22.5" customHeight="1">
      <c r="A702" s="327"/>
      <c r="B702" s="327"/>
      <c r="C702" s="327"/>
      <c r="D702" s="327"/>
      <c r="E702" s="327"/>
    </row>
    <row r="703" ht="22.5" customHeight="1">
      <c r="A703" s="327"/>
      <c r="B703" s="327"/>
      <c r="C703" s="327"/>
      <c r="D703" s="327"/>
      <c r="E703" s="327"/>
    </row>
    <row r="704" ht="22.5" customHeight="1">
      <c r="A704" s="327"/>
      <c r="B704" s="327"/>
      <c r="C704" s="327"/>
      <c r="D704" s="327"/>
      <c r="E704" s="327"/>
    </row>
    <row r="705" ht="22.5" customHeight="1">
      <c r="A705" s="327"/>
      <c r="B705" s="327"/>
      <c r="C705" s="327"/>
      <c r="D705" s="327"/>
      <c r="E705" s="327"/>
    </row>
    <row r="706" ht="22.5" customHeight="1">
      <c r="A706" s="327"/>
      <c r="B706" s="327"/>
      <c r="C706" s="327"/>
      <c r="D706" s="327"/>
      <c r="E706" s="327"/>
    </row>
    <row r="707" ht="22.5" customHeight="1">
      <c r="A707" s="327"/>
      <c r="B707" s="327"/>
      <c r="C707" s="327"/>
      <c r="D707" s="327"/>
      <c r="E707" s="327"/>
    </row>
    <row r="708" ht="22.5" customHeight="1">
      <c r="A708" s="327"/>
      <c r="B708" s="327"/>
      <c r="C708" s="327"/>
      <c r="D708" s="327"/>
      <c r="E708" s="327"/>
    </row>
    <row r="709" ht="22.5" customHeight="1">
      <c r="A709" s="327"/>
      <c r="B709" s="327"/>
      <c r="C709" s="327"/>
      <c r="D709" s="327"/>
      <c r="E709" s="327"/>
    </row>
    <row r="710" ht="22.5" customHeight="1">
      <c r="A710" s="327"/>
      <c r="B710" s="327"/>
      <c r="C710" s="327"/>
      <c r="D710" s="327"/>
      <c r="E710" s="327"/>
    </row>
    <row r="711" ht="22.5" customHeight="1">
      <c r="A711" s="327"/>
      <c r="B711" s="327"/>
      <c r="C711" s="327"/>
      <c r="D711" s="327"/>
      <c r="E711" s="327"/>
    </row>
    <row r="712" ht="22.5" customHeight="1">
      <c r="A712" s="327"/>
      <c r="B712" s="327"/>
      <c r="C712" s="327"/>
      <c r="D712" s="327"/>
      <c r="E712" s="327"/>
    </row>
    <row r="713" ht="22.5" customHeight="1">
      <c r="A713" s="327"/>
      <c r="B713" s="327"/>
      <c r="C713" s="327"/>
      <c r="D713" s="327"/>
      <c r="E713" s="327"/>
    </row>
    <row r="714" ht="22.5" customHeight="1">
      <c r="A714" s="327"/>
      <c r="B714" s="327"/>
      <c r="C714" s="327"/>
      <c r="D714" s="327"/>
      <c r="E714" s="327"/>
    </row>
    <row r="715" ht="22.5" customHeight="1">
      <c r="A715" s="327"/>
      <c r="B715" s="327"/>
      <c r="C715" s="327"/>
      <c r="D715" s="327"/>
      <c r="E715" s="327"/>
    </row>
    <row r="716" ht="22.5" customHeight="1">
      <c r="A716" s="327"/>
      <c r="B716" s="327"/>
      <c r="C716" s="327"/>
      <c r="D716" s="327"/>
      <c r="E716" s="327"/>
    </row>
    <row r="717" ht="22.5" customHeight="1">
      <c r="A717" s="327"/>
      <c r="B717" s="327"/>
      <c r="C717" s="327"/>
      <c r="D717" s="327"/>
      <c r="E717" s="327"/>
    </row>
    <row r="718" ht="22.5" customHeight="1">
      <c r="A718" s="327"/>
      <c r="B718" s="327"/>
      <c r="C718" s="327"/>
      <c r="D718" s="327"/>
      <c r="E718" s="327"/>
    </row>
    <row r="719" ht="22.5" customHeight="1">
      <c r="A719" s="327"/>
      <c r="B719" s="327"/>
      <c r="C719" s="327"/>
      <c r="D719" s="327"/>
      <c r="E719" s="327"/>
    </row>
    <row r="720" ht="22.5" customHeight="1">
      <c r="A720" s="327"/>
      <c r="B720" s="327"/>
      <c r="C720" s="327"/>
      <c r="D720" s="327"/>
      <c r="E720" s="327"/>
    </row>
    <row r="721" ht="22.5" customHeight="1">
      <c r="A721" s="327"/>
      <c r="B721" s="327"/>
      <c r="C721" s="327"/>
      <c r="D721" s="327"/>
      <c r="E721" s="327"/>
    </row>
    <row r="722" ht="22.5" customHeight="1">
      <c r="A722" s="327"/>
      <c r="B722" s="327"/>
      <c r="C722" s="327"/>
      <c r="D722" s="327"/>
      <c r="E722" s="327"/>
    </row>
    <row r="723" ht="22.5" customHeight="1">
      <c r="A723" s="327"/>
      <c r="B723" s="327"/>
      <c r="C723" s="327"/>
      <c r="D723" s="327"/>
      <c r="E723" s="327"/>
    </row>
    <row r="724" ht="22.5" customHeight="1">
      <c r="A724" s="327"/>
      <c r="B724" s="327"/>
      <c r="C724" s="327"/>
      <c r="D724" s="327"/>
      <c r="E724" s="327"/>
    </row>
    <row r="725" ht="22.5" customHeight="1">
      <c r="A725" s="327"/>
      <c r="B725" s="327"/>
      <c r="C725" s="327"/>
      <c r="D725" s="327"/>
      <c r="E725" s="327"/>
    </row>
    <row r="726" ht="22.5" customHeight="1">
      <c r="A726" s="327"/>
      <c r="B726" s="327"/>
      <c r="C726" s="327"/>
      <c r="D726" s="327"/>
      <c r="E726" s="327"/>
    </row>
    <row r="727" ht="22.5" customHeight="1">
      <c r="A727" s="327"/>
      <c r="B727" s="327"/>
      <c r="C727" s="327"/>
      <c r="D727" s="327"/>
      <c r="E727" s="327"/>
    </row>
    <row r="728" ht="22.5" customHeight="1">
      <c r="A728" s="327"/>
      <c r="B728" s="327"/>
      <c r="C728" s="327"/>
      <c r="D728" s="327"/>
      <c r="E728" s="327"/>
    </row>
    <row r="729" ht="22.5" customHeight="1">
      <c r="A729" s="327"/>
      <c r="B729" s="327"/>
      <c r="C729" s="327"/>
      <c r="D729" s="327"/>
      <c r="E729" s="327"/>
    </row>
    <row r="730" ht="22.5" customHeight="1">
      <c r="A730" s="327"/>
      <c r="B730" s="327"/>
      <c r="C730" s="327"/>
      <c r="D730" s="327"/>
      <c r="E730" s="327"/>
    </row>
    <row r="731" ht="22.5" customHeight="1">
      <c r="A731" s="327"/>
      <c r="B731" s="327"/>
      <c r="C731" s="327"/>
      <c r="D731" s="327"/>
      <c r="E731" s="327"/>
    </row>
    <row r="732" ht="22.5" customHeight="1">
      <c r="A732" s="327"/>
      <c r="B732" s="327"/>
      <c r="C732" s="327"/>
      <c r="D732" s="327"/>
      <c r="E732" s="327"/>
    </row>
    <row r="733" ht="22.5" customHeight="1">
      <c r="A733" s="327"/>
      <c r="B733" s="327"/>
      <c r="C733" s="327"/>
      <c r="D733" s="327"/>
      <c r="E733" s="327"/>
    </row>
    <row r="734" ht="22.5" customHeight="1">
      <c r="A734" s="327"/>
      <c r="B734" s="327"/>
      <c r="C734" s="327"/>
      <c r="D734" s="327"/>
      <c r="E734" s="327"/>
    </row>
    <row r="735" ht="22.5" customHeight="1">
      <c r="A735" s="327"/>
      <c r="B735" s="327"/>
      <c r="C735" s="327"/>
      <c r="D735" s="327"/>
      <c r="E735" s="327"/>
    </row>
    <row r="736" ht="22.5" customHeight="1">
      <c r="A736" s="327"/>
      <c r="B736" s="327"/>
      <c r="C736" s="327"/>
      <c r="D736" s="327"/>
      <c r="E736" s="327"/>
    </row>
    <row r="737" ht="22.5" customHeight="1">
      <c r="A737" s="327"/>
      <c r="B737" s="327"/>
      <c r="C737" s="327"/>
      <c r="D737" s="327"/>
      <c r="E737" s="327"/>
    </row>
    <row r="738" ht="22.5" customHeight="1">
      <c r="A738" s="327"/>
      <c r="B738" s="327"/>
      <c r="C738" s="327"/>
      <c r="D738" s="327"/>
      <c r="E738" s="327"/>
    </row>
    <row r="739" ht="22.5" customHeight="1">
      <c r="A739" s="327"/>
      <c r="B739" s="327"/>
      <c r="C739" s="327"/>
      <c r="D739" s="327"/>
      <c r="E739" s="327"/>
    </row>
    <row r="740" ht="22.5" customHeight="1">
      <c r="A740" s="327"/>
      <c r="B740" s="327"/>
      <c r="C740" s="327"/>
      <c r="D740" s="327"/>
      <c r="E740" s="327"/>
    </row>
    <row r="741" ht="22.5" customHeight="1">
      <c r="A741" s="327"/>
      <c r="B741" s="327"/>
      <c r="C741" s="327"/>
      <c r="D741" s="327"/>
      <c r="E741" s="327"/>
    </row>
    <row r="742" ht="22.5" customHeight="1">
      <c r="A742" s="327"/>
      <c r="B742" s="327"/>
      <c r="C742" s="327"/>
      <c r="D742" s="327"/>
      <c r="E742" s="327"/>
    </row>
    <row r="743" ht="22.5" customHeight="1">
      <c r="A743" s="327"/>
      <c r="B743" s="327"/>
      <c r="C743" s="327"/>
      <c r="D743" s="327"/>
      <c r="E743" s="327"/>
    </row>
    <row r="744" ht="22.5" customHeight="1">
      <c r="A744" s="327"/>
      <c r="B744" s="327"/>
      <c r="C744" s="327"/>
      <c r="D744" s="327"/>
      <c r="E744" s="327"/>
    </row>
    <row r="745" ht="22.5" customHeight="1">
      <c r="A745" s="327"/>
      <c r="B745" s="327"/>
      <c r="C745" s="327"/>
      <c r="D745" s="327"/>
      <c r="E745" s="327"/>
    </row>
    <row r="746" ht="22.5" customHeight="1">
      <c r="A746" s="327"/>
      <c r="B746" s="327"/>
      <c r="C746" s="327"/>
      <c r="D746" s="327"/>
      <c r="E746" s="327"/>
    </row>
    <row r="747" ht="22.5" customHeight="1">
      <c r="A747" s="327"/>
      <c r="B747" s="327"/>
      <c r="C747" s="327"/>
      <c r="D747" s="327"/>
      <c r="E747" s="327"/>
    </row>
    <row r="748" ht="22.5" customHeight="1">
      <c r="A748" s="327"/>
      <c r="B748" s="327"/>
      <c r="C748" s="327"/>
      <c r="D748" s="327"/>
      <c r="E748" s="327"/>
    </row>
    <row r="749" ht="22.5" customHeight="1">
      <c r="A749" s="327"/>
      <c r="B749" s="327"/>
      <c r="C749" s="327"/>
      <c r="D749" s="327"/>
      <c r="E749" s="327"/>
    </row>
    <row r="750" ht="22.5" customHeight="1">
      <c r="A750" s="327"/>
      <c r="B750" s="327"/>
      <c r="C750" s="327"/>
      <c r="D750" s="327"/>
      <c r="E750" s="327"/>
    </row>
    <row r="751" ht="22.5" customHeight="1">
      <c r="A751" s="327"/>
      <c r="B751" s="327"/>
      <c r="C751" s="327"/>
      <c r="D751" s="327"/>
      <c r="E751" s="327"/>
    </row>
    <row r="752" ht="22.5" customHeight="1">
      <c r="A752" s="327"/>
      <c r="B752" s="327"/>
      <c r="C752" s="327"/>
      <c r="D752" s="327"/>
      <c r="E752" s="327"/>
    </row>
    <row r="753" ht="22.5" customHeight="1">
      <c r="A753" s="327"/>
      <c r="B753" s="327"/>
      <c r="C753" s="327"/>
      <c r="D753" s="327"/>
      <c r="E753" s="327"/>
    </row>
    <row r="754" ht="22.5" customHeight="1">
      <c r="A754" s="327"/>
      <c r="B754" s="327"/>
      <c r="C754" s="327"/>
      <c r="D754" s="327"/>
      <c r="E754" s="327"/>
    </row>
    <row r="755" ht="22.5" customHeight="1">
      <c r="A755" s="327"/>
      <c r="B755" s="327"/>
      <c r="C755" s="327"/>
      <c r="D755" s="327"/>
      <c r="E755" s="327"/>
    </row>
    <row r="756" ht="22.5" customHeight="1">
      <c r="A756" s="327"/>
      <c r="B756" s="327"/>
      <c r="C756" s="327"/>
      <c r="D756" s="327"/>
      <c r="E756" s="327"/>
    </row>
    <row r="757" ht="22.5" customHeight="1">
      <c r="A757" s="327"/>
      <c r="B757" s="327"/>
      <c r="C757" s="327"/>
      <c r="D757" s="327"/>
      <c r="E757" s="327"/>
    </row>
    <row r="758" ht="22.5" customHeight="1">
      <c r="A758" s="327"/>
      <c r="B758" s="327"/>
      <c r="C758" s="327"/>
      <c r="D758" s="327"/>
      <c r="E758" s="327"/>
    </row>
    <row r="759" ht="22.5" customHeight="1">
      <c r="A759" s="327"/>
      <c r="B759" s="327"/>
      <c r="C759" s="327"/>
      <c r="D759" s="327"/>
      <c r="E759" s="327"/>
    </row>
    <row r="760" ht="22.5" customHeight="1">
      <c r="A760" s="327"/>
      <c r="B760" s="327"/>
      <c r="C760" s="327"/>
      <c r="D760" s="327"/>
      <c r="E760" s="327"/>
    </row>
    <row r="761" ht="22.5" customHeight="1">
      <c r="A761" s="327"/>
      <c r="B761" s="327"/>
      <c r="C761" s="327"/>
      <c r="D761" s="327"/>
      <c r="E761" s="327"/>
    </row>
    <row r="762" ht="22.5" customHeight="1">
      <c r="A762" s="327"/>
      <c r="B762" s="327"/>
      <c r="C762" s="327"/>
      <c r="D762" s="327"/>
      <c r="E762" s="327"/>
    </row>
    <row r="763" ht="22.5" customHeight="1">
      <c r="A763" s="327"/>
      <c r="B763" s="327"/>
      <c r="C763" s="327"/>
      <c r="D763" s="327"/>
      <c r="E763" s="327"/>
    </row>
    <row r="764" ht="22.5" customHeight="1">
      <c r="A764" s="327"/>
      <c r="B764" s="327"/>
      <c r="C764" s="327"/>
      <c r="D764" s="327"/>
      <c r="E764" s="327"/>
    </row>
    <row r="765" ht="22.5" customHeight="1">
      <c r="A765" s="327"/>
      <c r="B765" s="327"/>
      <c r="C765" s="327"/>
      <c r="D765" s="327"/>
      <c r="E765" s="327"/>
    </row>
    <row r="766" ht="22.5" customHeight="1">
      <c r="A766" s="327"/>
      <c r="B766" s="327"/>
      <c r="C766" s="327"/>
      <c r="D766" s="327"/>
      <c r="E766" s="327"/>
    </row>
    <row r="767" ht="22.5" customHeight="1">
      <c r="A767" s="327"/>
      <c r="B767" s="327"/>
      <c r="C767" s="327"/>
      <c r="D767" s="327"/>
      <c r="E767" s="327"/>
    </row>
    <row r="768" ht="22.5" customHeight="1">
      <c r="A768" s="327"/>
      <c r="B768" s="327"/>
      <c r="C768" s="327"/>
      <c r="D768" s="327"/>
      <c r="E768" s="327"/>
    </row>
    <row r="769" ht="22.5" customHeight="1">
      <c r="A769" s="327"/>
      <c r="B769" s="327"/>
      <c r="C769" s="327"/>
      <c r="D769" s="327"/>
      <c r="E769" s="327"/>
    </row>
    <row r="770" ht="22.5" customHeight="1">
      <c r="A770" s="327"/>
      <c r="B770" s="327"/>
      <c r="C770" s="327"/>
      <c r="D770" s="327"/>
      <c r="E770" s="327"/>
    </row>
    <row r="771" ht="22.5" customHeight="1">
      <c r="A771" s="327"/>
      <c r="B771" s="327"/>
      <c r="C771" s="327"/>
      <c r="D771" s="327"/>
      <c r="E771" s="327"/>
    </row>
    <row r="772" ht="22.5" customHeight="1">
      <c r="A772" s="327"/>
      <c r="B772" s="327"/>
      <c r="C772" s="327"/>
      <c r="D772" s="327"/>
      <c r="E772" s="327"/>
    </row>
    <row r="773" ht="22.5" customHeight="1">
      <c r="A773" s="327"/>
      <c r="B773" s="327"/>
      <c r="C773" s="327"/>
      <c r="D773" s="327"/>
      <c r="E773" s="327"/>
    </row>
    <row r="774" ht="22.5" customHeight="1">
      <c r="A774" s="327"/>
      <c r="B774" s="327"/>
      <c r="C774" s="327"/>
      <c r="D774" s="327"/>
      <c r="E774" s="327"/>
    </row>
    <row r="775" ht="22.5" customHeight="1">
      <c r="A775" s="327"/>
      <c r="B775" s="327"/>
      <c r="C775" s="327"/>
      <c r="D775" s="327"/>
      <c r="E775" s="327"/>
    </row>
    <row r="776" ht="22.5" customHeight="1">
      <c r="A776" s="327"/>
      <c r="B776" s="327"/>
      <c r="C776" s="327"/>
      <c r="D776" s="327"/>
      <c r="E776" s="327"/>
    </row>
    <row r="777" ht="22.5" customHeight="1">
      <c r="A777" s="327"/>
      <c r="B777" s="327"/>
      <c r="C777" s="327"/>
      <c r="D777" s="327"/>
      <c r="E777" s="327"/>
    </row>
    <row r="778" ht="22.5" customHeight="1">
      <c r="A778" s="327"/>
      <c r="B778" s="327"/>
      <c r="C778" s="327"/>
      <c r="D778" s="327"/>
      <c r="E778" s="327"/>
    </row>
    <row r="779" ht="22.5" customHeight="1">
      <c r="A779" s="327"/>
      <c r="B779" s="327"/>
      <c r="C779" s="327"/>
      <c r="D779" s="327"/>
      <c r="E779" s="327"/>
    </row>
    <row r="780" ht="22.5" customHeight="1">
      <c r="A780" s="327"/>
      <c r="B780" s="327"/>
      <c r="C780" s="327"/>
      <c r="D780" s="327"/>
      <c r="E780" s="327"/>
    </row>
    <row r="781" ht="22.5" customHeight="1">
      <c r="A781" s="327"/>
      <c r="B781" s="327"/>
      <c r="C781" s="327"/>
      <c r="D781" s="327"/>
      <c r="E781" s="327"/>
    </row>
    <row r="782" ht="22.5" customHeight="1">
      <c r="A782" s="327"/>
      <c r="B782" s="327"/>
      <c r="C782" s="327"/>
      <c r="D782" s="327"/>
      <c r="E782" s="327"/>
    </row>
    <row r="783" ht="22.5" customHeight="1">
      <c r="A783" s="327"/>
      <c r="B783" s="327"/>
      <c r="C783" s="327"/>
      <c r="D783" s="327"/>
      <c r="E783" s="327"/>
    </row>
    <row r="784" ht="22.5" customHeight="1">
      <c r="A784" s="327"/>
      <c r="B784" s="327"/>
      <c r="C784" s="327"/>
      <c r="D784" s="327"/>
      <c r="E784" s="327"/>
    </row>
    <row r="785" ht="22.5" customHeight="1">
      <c r="A785" s="327"/>
      <c r="B785" s="327"/>
      <c r="C785" s="327"/>
      <c r="D785" s="327"/>
      <c r="E785" s="327"/>
    </row>
    <row r="786" ht="22.5" customHeight="1">
      <c r="A786" s="327"/>
      <c r="B786" s="327"/>
      <c r="C786" s="327"/>
      <c r="D786" s="327"/>
      <c r="E786" s="327"/>
    </row>
    <row r="787" ht="22.5" customHeight="1">
      <c r="A787" s="327"/>
      <c r="B787" s="327"/>
      <c r="C787" s="327"/>
      <c r="D787" s="327"/>
      <c r="E787" s="327"/>
    </row>
    <row r="788" ht="22.5" customHeight="1">
      <c r="A788" s="327"/>
      <c r="B788" s="327"/>
      <c r="C788" s="327"/>
      <c r="D788" s="327"/>
      <c r="E788" s="327"/>
    </row>
    <row r="789" ht="22.5" customHeight="1">
      <c r="A789" s="327"/>
      <c r="B789" s="327"/>
      <c r="C789" s="327"/>
      <c r="D789" s="327"/>
      <c r="E789" s="327"/>
    </row>
    <row r="790" ht="22.5" customHeight="1">
      <c r="A790" s="327"/>
      <c r="B790" s="327"/>
      <c r="C790" s="327"/>
      <c r="D790" s="327"/>
      <c r="E790" s="327"/>
    </row>
    <row r="791" ht="22.5" customHeight="1">
      <c r="A791" s="327"/>
      <c r="B791" s="327"/>
      <c r="C791" s="327"/>
      <c r="D791" s="327"/>
      <c r="E791" s="327"/>
    </row>
    <row r="792" ht="22.5" customHeight="1">
      <c r="A792" s="327"/>
      <c r="B792" s="327"/>
      <c r="C792" s="327"/>
      <c r="D792" s="327"/>
      <c r="E792" s="327"/>
    </row>
    <row r="793" ht="22.5" customHeight="1">
      <c r="A793" s="327"/>
      <c r="B793" s="327"/>
      <c r="C793" s="327"/>
      <c r="D793" s="327"/>
      <c r="E793" s="327"/>
    </row>
    <row r="794" ht="22.5" customHeight="1">
      <c r="A794" s="327"/>
      <c r="B794" s="327"/>
      <c r="C794" s="327"/>
      <c r="D794" s="327"/>
      <c r="E794" s="327"/>
    </row>
    <row r="795" ht="22.5" customHeight="1">
      <c r="A795" s="327"/>
      <c r="B795" s="327"/>
      <c r="C795" s="327"/>
      <c r="D795" s="327"/>
      <c r="E795" s="327"/>
    </row>
    <row r="796" ht="22.5" customHeight="1">
      <c r="A796" s="327"/>
      <c r="B796" s="327"/>
      <c r="C796" s="327"/>
      <c r="D796" s="327"/>
      <c r="E796" s="327"/>
    </row>
    <row r="797" ht="22.5" customHeight="1">
      <c r="A797" s="327"/>
      <c r="B797" s="327"/>
      <c r="C797" s="327"/>
      <c r="D797" s="327"/>
      <c r="E797" s="327"/>
    </row>
    <row r="798" ht="22.5" customHeight="1">
      <c r="A798" s="327"/>
      <c r="B798" s="327"/>
      <c r="C798" s="327"/>
      <c r="D798" s="327"/>
      <c r="E798" s="327"/>
    </row>
    <row r="799" ht="22.5" customHeight="1">
      <c r="A799" s="327"/>
      <c r="B799" s="327"/>
      <c r="C799" s="327"/>
      <c r="D799" s="327"/>
      <c r="E799" s="327"/>
    </row>
    <row r="800" ht="22.5" customHeight="1">
      <c r="A800" s="327"/>
      <c r="B800" s="327"/>
      <c r="C800" s="327"/>
      <c r="D800" s="327"/>
      <c r="E800" s="327"/>
    </row>
    <row r="801" ht="22.5" customHeight="1">
      <c r="A801" s="327"/>
      <c r="B801" s="327"/>
      <c r="C801" s="327"/>
      <c r="D801" s="327"/>
      <c r="E801" s="327"/>
    </row>
    <row r="802" ht="22.5" customHeight="1">
      <c r="A802" s="327"/>
      <c r="B802" s="327"/>
      <c r="C802" s="327"/>
      <c r="D802" s="327"/>
      <c r="E802" s="327"/>
    </row>
    <row r="803" ht="22.5" customHeight="1">
      <c r="A803" s="327"/>
      <c r="B803" s="327"/>
      <c r="C803" s="327"/>
      <c r="D803" s="327"/>
      <c r="E803" s="327"/>
    </row>
    <row r="804" ht="22.5" customHeight="1">
      <c r="A804" s="327"/>
      <c r="B804" s="327"/>
      <c r="C804" s="327"/>
      <c r="D804" s="327"/>
      <c r="E804" s="327"/>
    </row>
    <row r="805" ht="22.5" customHeight="1">
      <c r="A805" s="327"/>
      <c r="B805" s="327"/>
      <c r="C805" s="327"/>
      <c r="D805" s="327"/>
      <c r="E805" s="327"/>
    </row>
    <row r="806" ht="22.5" customHeight="1">
      <c r="A806" s="327"/>
      <c r="B806" s="327"/>
      <c r="C806" s="327"/>
      <c r="D806" s="327"/>
      <c r="E806" s="327"/>
    </row>
    <row r="807" ht="22.5" customHeight="1">
      <c r="A807" s="327"/>
      <c r="B807" s="327"/>
      <c r="C807" s="327"/>
      <c r="D807" s="327"/>
      <c r="E807" s="327"/>
    </row>
    <row r="808" ht="22.5" customHeight="1">
      <c r="A808" s="327"/>
      <c r="B808" s="327"/>
      <c r="C808" s="327"/>
      <c r="D808" s="327"/>
      <c r="E808" s="327"/>
    </row>
    <row r="809" ht="22.5" customHeight="1">
      <c r="A809" s="327"/>
      <c r="B809" s="327"/>
      <c r="C809" s="327"/>
      <c r="D809" s="327"/>
      <c r="E809" s="327"/>
    </row>
    <row r="810" ht="22.5" customHeight="1">
      <c r="A810" s="327"/>
      <c r="B810" s="327"/>
      <c r="C810" s="327"/>
      <c r="D810" s="327"/>
      <c r="E810" s="327"/>
    </row>
    <row r="811" ht="22.5" customHeight="1">
      <c r="A811" s="327"/>
      <c r="B811" s="327"/>
      <c r="C811" s="327"/>
      <c r="D811" s="327"/>
      <c r="E811" s="327"/>
    </row>
    <row r="812" ht="22.5" customHeight="1">
      <c r="A812" s="327"/>
      <c r="B812" s="327"/>
      <c r="C812" s="327"/>
      <c r="D812" s="327"/>
      <c r="E812" s="327"/>
    </row>
    <row r="813" ht="22.5" customHeight="1">
      <c r="A813" s="327"/>
      <c r="B813" s="327"/>
      <c r="C813" s="327"/>
      <c r="D813" s="327"/>
      <c r="E813" s="327"/>
    </row>
    <row r="814" ht="22.5" customHeight="1">
      <c r="A814" s="327"/>
      <c r="B814" s="327"/>
      <c r="C814" s="327"/>
      <c r="D814" s="327"/>
      <c r="E814" s="327"/>
    </row>
    <row r="815" ht="22.5" customHeight="1">
      <c r="A815" s="327"/>
      <c r="B815" s="327"/>
      <c r="C815" s="327"/>
      <c r="D815" s="327"/>
      <c r="E815" s="327"/>
    </row>
    <row r="816" ht="22.5" customHeight="1">
      <c r="A816" s="327"/>
      <c r="B816" s="327"/>
      <c r="C816" s="327"/>
      <c r="D816" s="327"/>
      <c r="E816" s="327"/>
    </row>
    <row r="817" ht="22.5" customHeight="1">
      <c r="A817" s="327"/>
      <c r="B817" s="327"/>
      <c r="C817" s="327"/>
      <c r="D817" s="327"/>
      <c r="E817" s="327"/>
    </row>
    <row r="818" ht="22.5" customHeight="1">
      <c r="A818" s="327"/>
      <c r="B818" s="327"/>
      <c r="C818" s="327"/>
      <c r="D818" s="327"/>
      <c r="E818" s="327"/>
    </row>
    <row r="819" ht="22.5" customHeight="1">
      <c r="A819" s="327"/>
      <c r="B819" s="327"/>
      <c r="C819" s="327"/>
      <c r="D819" s="327"/>
      <c r="E819" s="327"/>
    </row>
    <row r="820" ht="22.5" customHeight="1">
      <c r="A820" s="327"/>
      <c r="B820" s="327"/>
      <c r="C820" s="327"/>
      <c r="D820" s="327"/>
      <c r="E820" s="327"/>
    </row>
    <row r="821" ht="22.5" customHeight="1">
      <c r="A821" s="327"/>
      <c r="B821" s="327"/>
      <c r="C821" s="327"/>
      <c r="D821" s="327"/>
      <c r="E821" s="327"/>
    </row>
    <row r="822" ht="22.5" customHeight="1">
      <c r="A822" s="327"/>
      <c r="B822" s="327"/>
      <c r="C822" s="327"/>
      <c r="D822" s="327"/>
      <c r="E822" s="327"/>
    </row>
    <row r="823" ht="22.5" customHeight="1">
      <c r="A823" s="327"/>
      <c r="B823" s="327"/>
      <c r="C823" s="327"/>
      <c r="D823" s="327"/>
      <c r="E823" s="327"/>
    </row>
    <row r="824" ht="22.5" customHeight="1">
      <c r="A824" s="327"/>
      <c r="B824" s="327"/>
      <c r="C824" s="327"/>
      <c r="D824" s="327"/>
      <c r="E824" s="327"/>
    </row>
    <row r="825" ht="22.5" customHeight="1">
      <c r="A825" s="327"/>
      <c r="B825" s="327"/>
      <c r="C825" s="327"/>
      <c r="D825" s="327"/>
      <c r="E825" s="327"/>
    </row>
    <row r="826" ht="22.5" customHeight="1">
      <c r="A826" s="327"/>
      <c r="B826" s="327"/>
      <c r="C826" s="327"/>
      <c r="D826" s="327"/>
      <c r="E826" s="327"/>
    </row>
    <row r="827" ht="22.5" customHeight="1">
      <c r="A827" s="327"/>
      <c r="B827" s="327"/>
      <c r="C827" s="327"/>
      <c r="D827" s="327"/>
      <c r="E827" s="327"/>
    </row>
    <row r="828" ht="22.5" customHeight="1">
      <c r="A828" s="327"/>
      <c r="B828" s="327"/>
      <c r="C828" s="327"/>
      <c r="D828" s="327"/>
      <c r="E828" s="327"/>
    </row>
    <row r="829" ht="22.5" customHeight="1">
      <c r="A829" s="327"/>
      <c r="B829" s="327"/>
      <c r="C829" s="327"/>
      <c r="D829" s="327"/>
      <c r="E829" s="327"/>
    </row>
    <row r="830" ht="22.5" customHeight="1">
      <c r="A830" s="327"/>
      <c r="B830" s="327"/>
      <c r="C830" s="327"/>
      <c r="D830" s="327"/>
      <c r="E830" s="327"/>
    </row>
    <row r="831" ht="22.5" customHeight="1">
      <c r="A831" s="327"/>
      <c r="B831" s="327"/>
      <c r="C831" s="327"/>
      <c r="D831" s="327"/>
      <c r="E831" s="327"/>
    </row>
    <row r="832" ht="22.5" customHeight="1">
      <c r="A832" s="327"/>
      <c r="B832" s="327"/>
      <c r="C832" s="327"/>
      <c r="D832" s="327"/>
      <c r="E832" s="327"/>
    </row>
    <row r="833" ht="22.5" customHeight="1">
      <c r="A833" s="327"/>
      <c r="B833" s="327"/>
      <c r="C833" s="327"/>
      <c r="D833" s="327"/>
      <c r="E833" s="327"/>
    </row>
    <row r="834" ht="22.5" customHeight="1">
      <c r="A834" s="327"/>
      <c r="B834" s="327"/>
      <c r="C834" s="327"/>
      <c r="D834" s="327"/>
      <c r="E834" s="327"/>
    </row>
    <row r="835" ht="22.5" customHeight="1">
      <c r="A835" s="327"/>
      <c r="B835" s="327"/>
      <c r="C835" s="327"/>
      <c r="D835" s="327"/>
      <c r="E835" s="327"/>
    </row>
    <row r="836" ht="22.5" customHeight="1">
      <c r="A836" s="327"/>
      <c r="B836" s="327"/>
      <c r="C836" s="327"/>
      <c r="D836" s="327"/>
      <c r="E836" s="327"/>
    </row>
    <row r="837" ht="22.5" customHeight="1">
      <c r="A837" s="327"/>
      <c r="B837" s="327"/>
      <c r="C837" s="327"/>
      <c r="D837" s="327"/>
      <c r="E837" s="327"/>
    </row>
    <row r="838" ht="22.5" customHeight="1">
      <c r="A838" s="327"/>
      <c r="B838" s="327"/>
      <c r="C838" s="327"/>
      <c r="D838" s="327"/>
      <c r="E838" s="327"/>
    </row>
    <row r="839" ht="22.5" customHeight="1">
      <c r="A839" s="327"/>
      <c r="B839" s="327"/>
      <c r="C839" s="327"/>
      <c r="D839" s="327"/>
      <c r="E839" s="327"/>
    </row>
    <row r="840" ht="22.5" customHeight="1">
      <c r="A840" s="327"/>
      <c r="B840" s="327"/>
      <c r="C840" s="327"/>
      <c r="D840" s="327"/>
      <c r="E840" s="327"/>
    </row>
    <row r="841" ht="22.5" customHeight="1">
      <c r="A841" s="327"/>
      <c r="B841" s="327"/>
      <c r="C841" s="327"/>
      <c r="D841" s="327"/>
      <c r="E841" s="327"/>
    </row>
    <row r="842" ht="22.5" customHeight="1">
      <c r="A842" s="327"/>
      <c r="B842" s="327"/>
      <c r="C842" s="327"/>
      <c r="D842" s="327"/>
      <c r="E842" s="327"/>
    </row>
    <row r="843" ht="22.5" customHeight="1">
      <c r="A843" s="327"/>
      <c r="B843" s="327"/>
      <c r="C843" s="327"/>
      <c r="D843" s="327"/>
      <c r="E843" s="327"/>
    </row>
    <row r="844" ht="22.5" customHeight="1">
      <c r="A844" s="327"/>
      <c r="B844" s="327"/>
      <c r="C844" s="327"/>
      <c r="D844" s="327"/>
      <c r="E844" s="327"/>
    </row>
    <row r="845" ht="22.5" customHeight="1">
      <c r="A845" s="327"/>
      <c r="B845" s="327"/>
      <c r="C845" s="327"/>
      <c r="D845" s="327"/>
      <c r="E845" s="327"/>
    </row>
    <row r="846" ht="22.5" customHeight="1">
      <c r="A846" s="327"/>
      <c r="B846" s="327"/>
      <c r="C846" s="327"/>
      <c r="D846" s="327"/>
      <c r="E846" s="327"/>
    </row>
    <row r="847" ht="22.5" customHeight="1">
      <c r="A847" s="327"/>
      <c r="B847" s="327"/>
      <c r="C847" s="327"/>
      <c r="D847" s="327"/>
      <c r="E847" s="327"/>
    </row>
    <row r="848" ht="22.5" customHeight="1">
      <c r="A848" s="327"/>
      <c r="B848" s="327"/>
      <c r="C848" s="327"/>
      <c r="D848" s="327"/>
      <c r="E848" s="327"/>
    </row>
    <row r="849" ht="22.5" customHeight="1">
      <c r="A849" s="327"/>
      <c r="B849" s="327"/>
      <c r="C849" s="327"/>
      <c r="D849" s="327"/>
      <c r="E849" s="327"/>
    </row>
    <row r="850" ht="22.5" customHeight="1">
      <c r="A850" s="327"/>
      <c r="B850" s="327"/>
      <c r="C850" s="327"/>
      <c r="D850" s="327"/>
      <c r="E850" s="327"/>
    </row>
    <row r="851" ht="22.5" customHeight="1">
      <c r="A851" s="327"/>
      <c r="B851" s="327"/>
      <c r="C851" s="327"/>
      <c r="D851" s="327"/>
      <c r="E851" s="327"/>
    </row>
    <row r="852" ht="22.5" customHeight="1">
      <c r="A852" s="327"/>
      <c r="B852" s="327"/>
      <c r="C852" s="327"/>
      <c r="D852" s="327"/>
      <c r="E852" s="327"/>
    </row>
    <row r="853" ht="22.5" customHeight="1">
      <c r="A853" s="327"/>
      <c r="B853" s="327"/>
      <c r="C853" s="327"/>
      <c r="D853" s="327"/>
      <c r="E853" s="327"/>
    </row>
    <row r="854" ht="22.5" customHeight="1">
      <c r="A854" s="327"/>
      <c r="B854" s="327"/>
      <c r="C854" s="327"/>
      <c r="D854" s="327"/>
      <c r="E854" s="327"/>
    </row>
    <row r="855" ht="22.5" customHeight="1">
      <c r="A855" s="327"/>
      <c r="B855" s="327"/>
      <c r="C855" s="327"/>
      <c r="D855" s="327"/>
      <c r="E855" s="327"/>
    </row>
    <row r="856" ht="22.5" customHeight="1">
      <c r="A856" s="327"/>
      <c r="B856" s="327"/>
      <c r="C856" s="327"/>
      <c r="D856" s="327"/>
      <c r="E856" s="327"/>
    </row>
    <row r="857" ht="22.5" customHeight="1">
      <c r="A857" s="327"/>
      <c r="B857" s="327"/>
      <c r="C857" s="327"/>
      <c r="D857" s="327"/>
      <c r="E857" s="327"/>
    </row>
    <row r="858" ht="22.5" customHeight="1">
      <c r="A858" s="327"/>
      <c r="B858" s="327"/>
      <c r="C858" s="327"/>
      <c r="D858" s="327"/>
      <c r="E858" s="327"/>
    </row>
    <row r="859" ht="22.5" customHeight="1">
      <c r="A859" s="327"/>
      <c r="B859" s="327"/>
      <c r="C859" s="327"/>
      <c r="D859" s="327"/>
      <c r="E859" s="327"/>
    </row>
    <row r="860" ht="22.5" customHeight="1">
      <c r="A860" s="327"/>
      <c r="B860" s="327"/>
      <c r="C860" s="327"/>
      <c r="D860" s="327"/>
      <c r="E860" s="327"/>
    </row>
    <row r="861" ht="22.5" customHeight="1">
      <c r="A861" s="327"/>
      <c r="B861" s="327"/>
      <c r="C861" s="327"/>
      <c r="D861" s="327"/>
      <c r="E861" s="327"/>
    </row>
    <row r="862" ht="22.5" customHeight="1">
      <c r="A862" s="327"/>
      <c r="B862" s="327"/>
      <c r="C862" s="327"/>
      <c r="D862" s="327"/>
      <c r="E862" s="327"/>
    </row>
    <row r="863" ht="22.5" customHeight="1">
      <c r="A863" s="327"/>
      <c r="B863" s="327"/>
      <c r="C863" s="327"/>
      <c r="D863" s="327"/>
      <c r="E863" s="327"/>
    </row>
    <row r="864" ht="22.5" customHeight="1">
      <c r="A864" s="327"/>
      <c r="B864" s="327"/>
      <c r="C864" s="327"/>
      <c r="D864" s="327"/>
      <c r="E864" s="327"/>
    </row>
    <row r="865" ht="22.5" customHeight="1">
      <c r="A865" s="327"/>
      <c r="B865" s="327"/>
      <c r="C865" s="327"/>
      <c r="D865" s="327"/>
      <c r="E865" s="327"/>
    </row>
    <row r="866" ht="22.5" customHeight="1">
      <c r="A866" s="327"/>
      <c r="B866" s="327"/>
      <c r="C866" s="327"/>
      <c r="D866" s="327"/>
      <c r="E866" s="327"/>
    </row>
    <row r="867" ht="22.5" customHeight="1">
      <c r="A867" s="327"/>
      <c r="B867" s="327"/>
      <c r="C867" s="327"/>
      <c r="D867" s="327"/>
      <c r="E867" s="327"/>
    </row>
    <row r="868" ht="22.5" customHeight="1">
      <c r="A868" s="327"/>
      <c r="B868" s="327"/>
      <c r="C868" s="327"/>
      <c r="D868" s="327"/>
      <c r="E868" s="327"/>
    </row>
    <row r="869" ht="22.5" customHeight="1">
      <c r="A869" s="327"/>
      <c r="B869" s="327"/>
      <c r="C869" s="327"/>
      <c r="D869" s="327"/>
      <c r="E869" s="327"/>
    </row>
    <row r="870" ht="22.5" customHeight="1">
      <c r="A870" s="327"/>
      <c r="B870" s="327"/>
      <c r="C870" s="327"/>
      <c r="D870" s="327"/>
      <c r="E870" s="327"/>
    </row>
    <row r="871" ht="22.5" customHeight="1">
      <c r="A871" s="327"/>
      <c r="B871" s="327"/>
      <c r="C871" s="327"/>
      <c r="D871" s="327"/>
      <c r="E871" s="327"/>
    </row>
    <row r="872" ht="22.5" customHeight="1">
      <c r="A872" s="327"/>
      <c r="B872" s="327"/>
      <c r="C872" s="327"/>
      <c r="D872" s="327"/>
      <c r="E872" s="327"/>
    </row>
    <row r="873" ht="22.5" customHeight="1">
      <c r="A873" s="327"/>
      <c r="B873" s="327"/>
      <c r="C873" s="327"/>
      <c r="D873" s="327"/>
      <c r="E873" s="327"/>
    </row>
    <row r="874" ht="22.5" customHeight="1">
      <c r="A874" s="327"/>
      <c r="B874" s="327"/>
      <c r="C874" s="327"/>
      <c r="D874" s="327"/>
      <c r="E874" s="327"/>
    </row>
    <row r="875" ht="22.5" customHeight="1">
      <c r="A875" s="327"/>
      <c r="B875" s="327"/>
      <c r="C875" s="327"/>
      <c r="D875" s="327"/>
      <c r="E875" s="327"/>
    </row>
    <row r="876" ht="22.5" customHeight="1">
      <c r="A876" s="327"/>
      <c r="B876" s="327"/>
      <c r="C876" s="327"/>
      <c r="D876" s="327"/>
      <c r="E876" s="327"/>
    </row>
    <row r="877" ht="22.5" customHeight="1">
      <c r="A877" s="327"/>
      <c r="B877" s="327"/>
      <c r="C877" s="327"/>
      <c r="D877" s="327"/>
      <c r="E877" s="327"/>
    </row>
    <row r="878" ht="22.5" customHeight="1">
      <c r="A878" s="327"/>
      <c r="B878" s="327"/>
      <c r="C878" s="327"/>
      <c r="D878" s="327"/>
      <c r="E878" s="327"/>
    </row>
    <row r="879" ht="22.5" customHeight="1">
      <c r="A879" s="327"/>
      <c r="B879" s="327"/>
      <c r="C879" s="327"/>
      <c r="D879" s="327"/>
      <c r="E879" s="327"/>
    </row>
    <row r="880" ht="22.5" customHeight="1">
      <c r="A880" s="327"/>
      <c r="B880" s="327"/>
      <c r="C880" s="327"/>
      <c r="D880" s="327"/>
      <c r="E880" s="327"/>
    </row>
    <row r="881" ht="22.5" customHeight="1">
      <c r="A881" s="327"/>
      <c r="B881" s="327"/>
      <c r="C881" s="327"/>
      <c r="D881" s="327"/>
      <c r="E881" s="327"/>
    </row>
    <row r="882" ht="22.5" customHeight="1">
      <c r="A882" s="327"/>
      <c r="B882" s="327"/>
      <c r="C882" s="327"/>
      <c r="D882" s="327"/>
      <c r="E882" s="327"/>
    </row>
    <row r="883" ht="22.5" customHeight="1">
      <c r="A883" s="327"/>
      <c r="B883" s="327"/>
      <c r="C883" s="327"/>
      <c r="D883" s="327"/>
      <c r="E883" s="327"/>
    </row>
    <row r="884" ht="22.5" customHeight="1">
      <c r="A884" s="327"/>
      <c r="B884" s="327"/>
      <c r="C884" s="327"/>
      <c r="D884" s="327"/>
      <c r="E884" s="327"/>
    </row>
    <row r="885" ht="22.5" customHeight="1">
      <c r="A885" s="327"/>
      <c r="B885" s="327"/>
      <c r="C885" s="327"/>
      <c r="D885" s="327"/>
      <c r="E885" s="327"/>
    </row>
    <row r="886" ht="22.5" customHeight="1">
      <c r="A886" s="327"/>
      <c r="B886" s="327"/>
      <c r="C886" s="327"/>
      <c r="D886" s="327"/>
      <c r="E886" s="327"/>
    </row>
    <row r="887" ht="22.5" customHeight="1">
      <c r="A887" s="327"/>
      <c r="B887" s="327"/>
      <c r="C887" s="327"/>
      <c r="D887" s="327"/>
      <c r="E887" s="327"/>
    </row>
    <row r="888" ht="22.5" customHeight="1">
      <c r="A888" s="327"/>
      <c r="B888" s="327"/>
      <c r="C888" s="327"/>
      <c r="D888" s="327"/>
      <c r="E888" s="327"/>
    </row>
    <row r="889" ht="22.5" customHeight="1">
      <c r="A889" s="327"/>
      <c r="B889" s="327"/>
      <c r="C889" s="327"/>
      <c r="D889" s="327"/>
      <c r="E889" s="327"/>
    </row>
    <row r="890" ht="22.5" customHeight="1">
      <c r="A890" s="327"/>
      <c r="B890" s="327"/>
      <c r="C890" s="327"/>
      <c r="D890" s="327"/>
      <c r="E890" s="327"/>
    </row>
    <row r="891" ht="22.5" customHeight="1">
      <c r="A891" s="327"/>
      <c r="B891" s="327"/>
      <c r="C891" s="327"/>
      <c r="D891" s="327"/>
      <c r="E891" s="327"/>
    </row>
    <row r="892" ht="22.5" customHeight="1">
      <c r="A892" s="327"/>
      <c r="B892" s="327"/>
      <c r="C892" s="327"/>
      <c r="D892" s="327"/>
      <c r="E892" s="327"/>
    </row>
    <row r="893" ht="22.5" customHeight="1">
      <c r="A893" s="327"/>
      <c r="B893" s="327"/>
      <c r="C893" s="327"/>
      <c r="D893" s="327"/>
      <c r="E893" s="327"/>
    </row>
    <row r="894" ht="22.5" customHeight="1">
      <c r="A894" s="327"/>
      <c r="B894" s="327"/>
      <c r="C894" s="327"/>
      <c r="D894" s="327"/>
      <c r="E894" s="327"/>
    </row>
    <row r="895" ht="22.5" customHeight="1">
      <c r="A895" s="327"/>
      <c r="B895" s="327"/>
      <c r="C895" s="327"/>
      <c r="D895" s="327"/>
      <c r="E895" s="327"/>
    </row>
    <row r="896" ht="22.5" customHeight="1">
      <c r="A896" s="327"/>
      <c r="B896" s="327"/>
      <c r="C896" s="327"/>
      <c r="D896" s="327"/>
      <c r="E896" s="327"/>
    </row>
    <row r="897" ht="22.5" customHeight="1">
      <c r="A897" s="327"/>
      <c r="B897" s="327"/>
      <c r="C897" s="327"/>
      <c r="D897" s="327"/>
      <c r="E897" s="327"/>
    </row>
    <row r="898" ht="22.5" customHeight="1">
      <c r="A898" s="327"/>
      <c r="B898" s="327"/>
      <c r="C898" s="327"/>
      <c r="D898" s="327"/>
      <c r="E898" s="327"/>
    </row>
    <row r="899" ht="22.5" customHeight="1">
      <c r="A899" s="327"/>
      <c r="B899" s="327"/>
      <c r="C899" s="327"/>
      <c r="D899" s="327"/>
      <c r="E899" s="327"/>
    </row>
    <row r="900" ht="22.5" customHeight="1">
      <c r="A900" s="327"/>
      <c r="B900" s="327"/>
      <c r="C900" s="327"/>
      <c r="D900" s="327"/>
      <c r="E900" s="327"/>
    </row>
    <row r="901" ht="22.5" customHeight="1">
      <c r="A901" s="327"/>
      <c r="B901" s="327"/>
      <c r="C901" s="327"/>
      <c r="D901" s="327"/>
      <c r="E901" s="327"/>
    </row>
    <row r="902" ht="22.5" customHeight="1">
      <c r="A902" s="327"/>
      <c r="B902" s="327"/>
      <c r="C902" s="327"/>
      <c r="D902" s="327"/>
      <c r="E902" s="327"/>
    </row>
    <row r="903" ht="22.5" customHeight="1">
      <c r="A903" s="327"/>
      <c r="B903" s="327"/>
      <c r="C903" s="327"/>
      <c r="D903" s="327"/>
      <c r="E903" s="327"/>
    </row>
    <row r="904" ht="22.5" customHeight="1">
      <c r="A904" s="327"/>
      <c r="B904" s="327"/>
      <c r="C904" s="327"/>
      <c r="D904" s="327"/>
      <c r="E904" s="327"/>
    </row>
    <row r="905" ht="22.5" customHeight="1">
      <c r="A905" s="327"/>
      <c r="B905" s="327"/>
      <c r="C905" s="327"/>
      <c r="D905" s="327"/>
      <c r="E905" s="327"/>
    </row>
    <row r="906" ht="22.5" customHeight="1">
      <c r="A906" s="327"/>
      <c r="B906" s="327"/>
      <c r="C906" s="327"/>
      <c r="D906" s="327"/>
      <c r="E906" s="327"/>
    </row>
    <row r="907" ht="22.5" customHeight="1">
      <c r="A907" s="327"/>
      <c r="B907" s="327"/>
      <c r="C907" s="327"/>
      <c r="D907" s="327"/>
      <c r="E907" s="327"/>
    </row>
    <row r="908" ht="22.5" customHeight="1">
      <c r="A908" s="327"/>
      <c r="B908" s="327"/>
      <c r="C908" s="327"/>
      <c r="D908" s="327"/>
      <c r="E908" s="327"/>
    </row>
    <row r="909" ht="22.5" customHeight="1">
      <c r="A909" s="327"/>
      <c r="B909" s="327"/>
      <c r="C909" s="327"/>
      <c r="D909" s="327"/>
      <c r="E909" s="327"/>
    </row>
    <row r="910" ht="22.5" customHeight="1">
      <c r="A910" s="327"/>
      <c r="B910" s="327"/>
      <c r="C910" s="327"/>
      <c r="D910" s="327"/>
      <c r="E910" s="327"/>
    </row>
    <row r="911" ht="22.5" customHeight="1">
      <c r="A911" s="327"/>
      <c r="B911" s="327"/>
      <c r="C911" s="327"/>
      <c r="D911" s="327"/>
      <c r="E911" s="327"/>
    </row>
    <row r="912" ht="22.5" customHeight="1">
      <c r="A912" s="327"/>
      <c r="B912" s="327"/>
      <c r="C912" s="327"/>
      <c r="D912" s="327"/>
      <c r="E912" s="327"/>
    </row>
    <row r="913" ht="22.5" customHeight="1">
      <c r="A913" s="327"/>
      <c r="B913" s="327"/>
      <c r="C913" s="327"/>
      <c r="D913" s="327"/>
      <c r="E913" s="327"/>
    </row>
    <row r="914" ht="22.5" customHeight="1">
      <c r="A914" s="327"/>
      <c r="B914" s="327"/>
      <c r="C914" s="327"/>
      <c r="D914" s="327"/>
      <c r="E914" s="327"/>
    </row>
    <row r="915" ht="22.5" customHeight="1">
      <c r="A915" s="327"/>
      <c r="B915" s="327"/>
      <c r="C915" s="327"/>
      <c r="D915" s="327"/>
      <c r="E915" s="327"/>
    </row>
    <row r="916" ht="22.5" customHeight="1">
      <c r="A916" s="327"/>
      <c r="B916" s="327"/>
      <c r="C916" s="327"/>
      <c r="D916" s="327"/>
      <c r="E916" s="327"/>
    </row>
    <row r="917" ht="22.5" customHeight="1">
      <c r="A917" s="327"/>
      <c r="B917" s="327"/>
      <c r="C917" s="327"/>
      <c r="D917" s="327"/>
      <c r="E917" s="327"/>
    </row>
    <row r="918" ht="22.5" customHeight="1">
      <c r="A918" s="327"/>
      <c r="B918" s="327"/>
      <c r="C918" s="327"/>
      <c r="D918" s="327"/>
      <c r="E918" s="327"/>
    </row>
    <row r="919" ht="22.5" customHeight="1">
      <c r="A919" s="327"/>
      <c r="B919" s="327"/>
      <c r="C919" s="327"/>
      <c r="D919" s="327"/>
      <c r="E919" s="327"/>
    </row>
    <row r="920" ht="22.5" customHeight="1">
      <c r="A920" s="327"/>
      <c r="B920" s="327"/>
      <c r="C920" s="327"/>
      <c r="D920" s="327"/>
      <c r="E920" s="327"/>
    </row>
    <row r="921" ht="22.5" customHeight="1">
      <c r="A921" s="327"/>
      <c r="B921" s="327"/>
      <c r="C921" s="327"/>
      <c r="D921" s="327"/>
      <c r="E921" s="327"/>
    </row>
    <row r="922" ht="22.5" customHeight="1">
      <c r="A922" s="327"/>
      <c r="B922" s="327"/>
      <c r="C922" s="327"/>
      <c r="D922" s="327"/>
      <c r="E922" s="327"/>
    </row>
    <row r="923" ht="22.5" customHeight="1">
      <c r="A923" s="327"/>
      <c r="B923" s="327"/>
      <c r="C923" s="327"/>
      <c r="D923" s="327"/>
      <c r="E923" s="327"/>
    </row>
    <row r="924" ht="22.5" customHeight="1">
      <c r="A924" s="327"/>
      <c r="B924" s="327"/>
      <c r="C924" s="327"/>
      <c r="D924" s="327"/>
      <c r="E924" s="327"/>
    </row>
    <row r="925" ht="22.5" customHeight="1">
      <c r="A925" s="327"/>
      <c r="B925" s="327"/>
      <c r="C925" s="327"/>
      <c r="D925" s="327"/>
      <c r="E925" s="327"/>
    </row>
    <row r="926" ht="22.5" customHeight="1">
      <c r="A926" s="327"/>
      <c r="B926" s="327"/>
      <c r="C926" s="327"/>
      <c r="D926" s="327"/>
      <c r="E926" s="327"/>
    </row>
    <row r="927" ht="22.5" customHeight="1">
      <c r="A927" s="327"/>
      <c r="B927" s="327"/>
      <c r="C927" s="327"/>
      <c r="D927" s="327"/>
      <c r="E927" s="327"/>
    </row>
    <row r="928" ht="22.5" customHeight="1">
      <c r="A928" s="327"/>
      <c r="B928" s="327"/>
      <c r="C928" s="327"/>
      <c r="D928" s="327"/>
      <c r="E928" s="327"/>
    </row>
    <row r="929" ht="22.5" customHeight="1">
      <c r="A929" s="327"/>
      <c r="B929" s="327"/>
      <c r="C929" s="327"/>
      <c r="D929" s="327"/>
      <c r="E929" s="327"/>
    </row>
    <row r="930" ht="22.5" customHeight="1">
      <c r="A930" s="327"/>
      <c r="B930" s="327"/>
      <c r="C930" s="327"/>
      <c r="D930" s="327"/>
      <c r="E930" s="327"/>
    </row>
    <row r="931" ht="22.5" customHeight="1">
      <c r="A931" s="327"/>
      <c r="B931" s="327"/>
      <c r="C931" s="327"/>
      <c r="D931" s="327"/>
      <c r="E931" s="327"/>
    </row>
    <row r="932" ht="22.5" customHeight="1">
      <c r="A932" s="327"/>
      <c r="B932" s="327"/>
      <c r="C932" s="327"/>
      <c r="D932" s="327"/>
      <c r="E932" s="327"/>
    </row>
    <row r="933" ht="22.5" customHeight="1">
      <c r="A933" s="327"/>
      <c r="B933" s="327"/>
      <c r="C933" s="327"/>
      <c r="D933" s="327"/>
      <c r="E933" s="327"/>
    </row>
    <row r="934" ht="22.5" customHeight="1">
      <c r="A934" s="327"/>
      <c r="B934" s="327"/>
      <c r="C934" s="327"/>
      <c r="D934" s="327"/>
      <c r="E934" s="327"/>
    </row>
    <row r="935" ht="22.5" customHeight="1">
      <c r="A935" s="327"/>
      <c r="B935" s="327"/>
      <c r="C935" s="327"/>
      <c r="D935" s="327"/>
      <c r="E935" s="327"/>
    </row>
    <row r="936" ht="22.5" customHeight="1">
      <c r="A936" s="327"/>
      <c r="B936" s="327"/>
      <c r="C936" s="327"/>
      <c r="D936" s="327"/>
      <c r="E936" s="327"/>
    </row>
    <row r="937" ht="22.5" customHeight="1">
      <c r="A937" s="327"/>
      <c r="B937" s="327"/>
      <c r="C937" s="327"/>
      <c r="D937" s="327"/>
      <c r="E937" s="327"/>
    </row>
    <row r="938" ht="22.5" customHeight="1">
      <c r="A938" s="327"/>
      <c r="B938" s="327"/>
      <c r="C938" s="327"/>
      <c r="D938" s="327"/>
      <c r="E938" s="327"/>
    </row>
    <row r="939" ht="22.5" customHeight="1">
      <c r="A939" s="327"/>
      <c r="B939" s="327"/>
      <c r="C939" s="327"/>
      <c r="D939" s="327"/>
      <c r="E939" s="327"/>
    </row>
    <row r="940" ht="22.5" customHeight="1">
      <c r="A940" s="327"/>
      <c r="B940" s="327"/>
      <c r="C940" s="327"/>
      <c r="D940" s="327"/>
      <c r="E940" s="327"/>
    </row>
    <row r="941" ht="22.5" customHeight="1">
      <c r="A941" s="327"/>
      <c r="B941" s="327"/>
      <c r="C941" s="327"/>
      <c r="D941" s="327"/>
      <c r="E941" s="327"/>
    </row>
    <row r="942" ht="22.5" customHeight="1">
      <c r="A942" s="327"/>
      <c r="B942" s="327"/>
      <c r="C942" s="327"/>
      <c r="D942" s="327"/>
      <c r="E942" s="327"/>
    </row>
    <row r="943" ht="22.5" customHeight="1">
      <c r="A943" s="327"/>
      <c r="B943" s="327"/>
      <c r="C943" s="327"/>
      <c r="D943" s="327"/>
      <c r="E943" s="327"/>
    </row>
    <row r="944" ht="22.5" customHeight="1">
      <c r="A944" s="327"/>
      <c r="B944" s="327"/>
      <c r="C944" s="327"/>
      <c r="D944" s="327"/>
      <c r="E944" s="327"/>
    </row>
    <row r="945" ht="22.5" customHeight="1">
      <c r="A945" s="327"/>
      <c r="B945" s="327"/>
      <c r="C945" s="327"/>
      <c r="D945" s="327"/>
      <c r="E945" s="327"/>
    </row>
    <row r="946" ht="22.5" customHeight="1">
      <c r="A946" s="327"/>
      <c r="B946" s="327"/>
      <c r="C946" s="327"/>
      <c r="D946" s="327"/>
      <c r="E946" s="327"/>
    </row>
    <row r="947" ht="22.5" customHeight="1">
      <c r="A947" s="327"/>
      <c r="B947" s="327"/>
      <c r="C947" s="327"/>
      <c r="D947" s="327"/>
      <c r="E947" s="327"/>
    </row>
    <row r="948" ht="22.5" customHeight="1">
      <c r="A948" s="327"/>
      <c r="B948" s="327"/>
      <c r="C948" s="327"/>
      <c r="D948" s="327"/>
      <c r="E948" s="327"/>
    </row>
    <row r="949" ht="22.5" customHeight="1">
      <c r="A949" s="327"/>
      <c r="B949" s="327"/>
      <c r="C949" s="327"/>
      <c r="D949" s="327"/>
      <c r="E949" s="327"/>
    </row>
    <row r="950" ht="22.5" customHeight="1">
      <c r="A950" s="327"/>
      <c r="B950" s="327"/>
      <c r="C950" s="327"/>
      <c r="D950" s="327"/>
      <c r="E950" s="327"/>
    </row>
    <row r="951" ht="22.5" customHeight="1">
      <c r="A951" s="327"/>
      <c r="B951" s="327"/>
      <c r="C951" s="327"/>
      <c r="D951" s="327"/>
      <c r="E951" s="327"/>
    </row>
    <row r="952" ht="22.5" customHeight="1">
      <c r="A952" s="327"/>
      <c r="B952" s="327"/>
      <c r="C952" s="327"/>
      <c r="D952" s="327"/>
      <c r="E952" s="327"/>
    </row>
    <row r="953" ht="22.5" customHeight="1">
      <c r="A953" s="327"/>
      <c r="B953" s="327"/>
      <c r="C953" s="327"/>
      <c r="D953" s="327"/>
      <c r="E953" s="327"/>
    </row>
    <row r="954" ht="22.5" customHeight="1">
      <c r="A954" s="327"/>
      <c r="B954" s="327"/>
      <c r="C954" s="327"/>
      <c r="D954" s="327"/>
      <c r="E954" s="327"/>
    </row>
    <row r="955" ht="22.5" customHeight="1">
      <c r="A955" s="327"/>
      <c r="B955" s="327"/>
      <c r="C955" s="327"/>
      <c r="D955" s="327"/>
      <c r="E955" s="327"/>
    </row>
    <row r="956" ht="22.5" customHeight="1">
      <c r="A956" s="327"/>
      <c r="B956" s="327"/>
      <c r="C956" s="327"/>
      <c r="D956" s="327"/>
      <c r="E956" s="327"/>
    </row>
    <row r="957" ht="22.5" customHeight="1">
      <c r="A957" s="327"/>
      <c r="B957" s="327"/>
      <c r="C957" s="327"/>
      <c r="D957" s="327"/>
      <c r="E957" s="327"/>
    </row>
    <row r="958" ht="22.5" customHeight="1">
      <c r="A958" s="327"/>
      <c r="B958" s="327"/>
      <c r="C958" s="327"/>
      <c r="D958" s="327"/>
      <c r="E958" s="327"/>
    </row>
    <row r="959" ht="22.5" customHeight="1">
      <c r="A959" s="327"/>
      <c r="B959" s="327"/>
      <c r="C959" s="327"/>
      <c r="D959" s="327"/>
      <c r="E959" s="327"/>
    </row>
    <row r="960" ht="22.5" customHeight="1">
      <c r="A960" s="327"/>
      <c r="B960" s="327"/>
      <c r="C960" s="327"/>
      <c r="D960" s="327"/>
      <c r="E960" s="327"/>
    </row>
    <row r="961" ht="22.5" customHeight="1">
      <c r="A961" s="327"/>
      <c r="B961" s="327"/>
      <c r="C961" s="327"/>
      <c r="D961" s="327"/>
      <c r="E961" s="327"/>
    </row>
    <row r="962" ht="22.5" customHeight="1">
      <c r="A962" s="327"/>
      <c r="B962" s="327"/>
      <c r="C962" s="327"/>
      <c r="D962" s="327"/>
      <c r="E962" s="327"/>
    </row>
    <row r="963" ht="22.5" customHeight="1">
      <c r="A963" s="327"/>
      <c r="B963" s="327"/>
      <c r="C963" s="327"/>
      <c r="D963" s="327"/>
      <c r="E963" s="327"/>
    </row>
    <row r="964" ht="22.5" customHeight="1">
      <c r="A964" s="327"/>
      <c r="B964" s="327"/>
      <c r="C964" s="327"/>
      <c r="D964" s="327"/>
      <c r="E964" s="327"/>
    </row>
    <row r="965" ht="22.5" customHeight="1">
      <c r="A965" s="327"/>
      <c r="B965" s="327"/>
      <c r="C965" s="327"/>
      <c r="D965" s="327"/>
      <c r="E965" s="327"/>
    </row>
    <row r="966" ht="22.5" customHeight="1">
      <c r="A966" s="327"/>
      <c r="B966" s="327"/>
      <c r="C966" s="327"/>
      <c r="D966" s="327"/>
      <c r="E966" s="327"/>
    </row>
    <row r="967" ht="22.5" customHeight="1">
      <c r="A967" s="327"/>
      <c r="B967" s="327"/>
      <c r="C967" s="327"/>
      <c r="D967" s="327"/>
      <c r="E967" s="327"/>
    </row>
    <row r="968" ht="22.5" customHeight="1">
      <c r="A968" s="327"/>
      <c r="B968" s="327"/>
      <c r="C968" s="327"/>
      <c r="D968" s="327"/>
      <c r="E968" s="327"/>
    </row>
    <row r="969" ht="22.5" customHeight="1">
      <c r="A969" s="327"/>
      <c r="B969" s="327"/>
      <c r="C969" s="327"/>
      <c r="D969" s="327"/>
      <c r="E969" s="327"/>
    </row>
    <row r="970" ht="22.5" customHeight="1">
      <c r="A970" s="327"/>
      <c r="B970" s="327"/>
      <c r="C970" s="327"/>
      <c r="D970" s="327"/>
      <c r="E970" s="327"/>
    </row>
    <row r="971" ht="22.5" customHeight="1">
      <c r="A971" s="327"/>
      <c r="B971" s="327"/>
      <c r="C971" s="327"/>
      <c r="D971" s="327"/>
      <c r="E971" s="327"/>
    </row>
    <row r="972" ht="22.5" customHeight="1">
      <c r="A972" s="327"/>
      <c r="B972" s="327"/>
      <c r="C972" s="327"/>
      <c r="D972" s="327"/>
      <c r="E972" s="327"/>
    </row>
    <row r="973" ht="22.5" customHeight="1">
      <c r="A973" s="327"/>
      <c r="B973" s="327"/>
      <c r="C973" s="327"/>
      <c r="D973" s="327"/>
      <c r="E973" s="327"/>
    </row>
    <row r="974" ht="22.5" customHeight="1">
      <c r="A974" s="327"/>
      <c r="B974" s="327"/>
      <c r="C974" s="327"/>
      <c r="D974" s="327"/>
      <c r="E974" s="327"/>
    </row>
    <row r="975" ht="22.5" customHeight="1">
      <c r="A975" s="327"/>
      <c r="B975" s="327"/>
      <c r="C975" s="327"/>
      <c r="D975" s="327"/>
      <c r="E975" s="327"/>
    </row>
    <row r="976" ht="22.5" customHeight="1">
      <c r="A976" s="327"/>
      <c r="B976" s="327"/>
      <c r="C976" s="327"/>
      <c r="D976" s="327"/>
      <c r="E976" s="327"/>
    </row>
    <row r="977" ht="22.5" customHeight="1">
      <c r="A977" s="327"/>
      <c r="B977" s="327"/>
      <c r="C977" s="327"/>
      <c r="D977" s="327"/>
      <c r="E977" s="327"/>
    </row>
    <row r="978" ht="22.5" customHeight="1">
      <c r="A978" s="327"/>
      <c r="B978" s="327"/>
      <c r="C978" s="327"/>
      <c r="D978" s="327"/>
      <c r="E978" s="327"/>
    </row>
    <row r="979" ht="22.5" customHeight="1">
      <c r="A979" s="327"/>
      <c r="B979" s="327"/>
      <c r="C979" s="327"/>
      <c r="D979" s="327"/>
      <c r="E979" s="327"/>
    </row>
    <row r="980" ht="22.5" customHeight="1">
      <c r="A980" s="327"/>
      <c r="B980" s="327"/>
      <c r="C980" s="327"/>
      <c r="D980" s="327"/>
      <c r="E980" s="327"/>
    </row>
    <row r="981" ht="22.5" customHeight="1">
      <c r="A981" s="327"/>
      <c r="B981" s="327"/>
      <c r="C981" s="327"/>
      <c r="D981" s="327"/>
      <c r="E981" s="327"/>
    </row>
    <row r="982" ht="22.5" customHeight="1">
      <c r="A982" s="327"/>
      <c r="B982" s="327"/>
      <c r="C982" s="327"/>
      <c r="D982" s="327"/>
      <c r="E982" s="327"/>
    </row>
    <row r="983" ht="22.5" customHeight="1">
      <c r="A983" s="327"/>
      <c r="B983" s="327"/>
      <c r="C983" s="327"/>
      <c r="D983" s="327"/>
      <c r="E983" s="327"/>
    </row>
    <row r="984" ht="22.5" customHeight="1">
      <c r="A984" s="327"/>
      <c r="B984" s="327"/>
      <c r="C984" s="327"/>
      <c r="D984" s="327"/>
      <c r="E984" s="327"/>
    </row>
    <row r="985" ht="22.5" customHeight="1">
      <c r="A985" s="327"/>
      <c r="B985" s="327"/>
      <c r="C985" s="327"/>
      <c r="D985" s="327"/>
      <c r="E985" s="327"/>
    </row>
    <row r="986" ht="22.5" customHeight="1">
      <c r="A986" s="327"/>
      <c r="B986" s="327"/>
      <c r="C986" s="327"/>
      <c r="D986" s="327"/>
      <c r="E986" s="327"/>
    </row>
    <row r="987" ht="22.5" customHeight="1">
      <c r="A987" s="327"/>
      <c r="B987" s="327"/>
      <c r="C987" s="327"/>
      <c r="D987" s="327"/>
      <c r="E987" s="327"/>
    </row>
    <row r="988" ht="22.5" customHeight="1">
      <c r="A988" s="327"/>
      <c r="B988" s="327"/>
      <c r="C988" s="327"/>
      <c r="D988" s="327"/>
      <c r="E988" s="327"/>
    </row>
    <row r="989" ht="22.5" customHeight="1">
      <c r="A989" s="327"/>
      <c r="B989" s="327"/>
      <c r="C989" s="327"/>
      <c r="D989" s="327"/>
      <c r="E989" s="327"/>
    </row>
    <row r="990" ht="22.5" customHeight="1">
      <c r="A990" s="327"/>
      <c r="B990" s="327"/>
      <c r="C990" s="327"/>
      <c r="D990" s="327"/>
      <c r="E990" s="327"/>
    </row>
    <row r="991" ht="22.5" customHeight="1">
      <c r="A991" s="327"/>
      <c r="B991" s="327"/>
      <c r="C991" s="327"/>
      <c r="D991" s="327"/>
      <c r="E991" s="327"/>
    </row>
    <row r="992" ht="22.5" customHeight="1">
      <c r="A992" s="327"/>
      <c r="B992" s="327"/>
      <c r="C992" s="327"/>
      <c r="D992" s="327"/>
      <c r="E992" s="327"/>
    </row>
    <row r="993" ht="22.5" customHeight="1">
      <c r="A993" s="327"/>
      <c r="B993" s="327"/>
      <c r="C993" s="327"/>
      <c r="D993" s="327"/>
      <c r="E993" s="327"/>
    </row>
    <row r="994" ht="22.5" customHeight="1">
      <c r="A994" s="327"/>
      <c r="B994" s="327"/>
      <c r="C994" s="327"/>
      <c r="D994" s="327"/>
      <c r="E994" s="327"/>
    </row>
    <row r="995" ht="22.5" customHeight="1">
      <c r="A995" s="327"/>
      <c r="B995" s="327"/>
      <c r="C995" s="327"/>
      <c r="D995" s="327"/>
      <c r="E995" s="327"/>
    </row>
    <row r="996" ht="22.5" customHeight="1">
      <c r="A996" s="327"/>
      <c r="B996" s="327"/>
      <c r="C996" s="327"/>
      <c r="D996" s="327"/>
      <c r="E996" s="327"/>
    </row>
    <row r="997" ht="22.5" customHeight="1">
      <c r="A997" s="327"/>
      <c r="B997" s="327"/>
      <c r="C997" s="327"/>
      <c r="D997" s="327"/>
      <c r="E997" s="327"/>
    </row>
    <row r="998" ht="22.5" customHeight="1">
      <c r="A998" s="327"/>
      <c r="B998" s="327"/>
      <c r="C998" s="327"/>
      <c r="D998" s="327"/>
      <c r="E998" s="327"/>
    </row>
    <row r="999" ht="22.5" customHeight="1">
      <c r="A999" s="327"/>
      <c r="B999" s="327"/>
      <c r="C999" s="327"/>
      <c r="D999" s="327"/>
      <c r="E999" s="327"/>
    </row>
    <row r="1000" ht="22.5" customHeight="1">
      <c r="A1000" s="327"/>
      <c r="B1000" s="327"/>
      <c r="C1000" s="327"/>
      <c r="D1000" s="327"/>
      <c r="E1000" s="327"/>
    </row>
    <row r="1001" ht="22.5" customHeight="1">
      <c r="A1001" s="327"/>
      <c r="B1001" s="327"/>
      <c r="C1001" s="327"/>
      <c r="D1001" s="327"/>
      <c r="E1001" s="327"/>
    </row>
    <row r="1002" ht="22.5" customHeight="1">
      <c r="A1002" s="327"/>
      <c r="B1002" s="327"/>
      <c r="C1002" s="327"/>
      <c r="D1002" s="327"/>
      <c r="E1002" s="327"/>
    </row>
    <row r="1003" ht="22.5" customHeight="1">
      <c r="A1003" s="327"/>
      <c r="B1003" s="327"/>
      <c r="C1003" s="327"/>
      <c r="D1003" s="327"/>
      <c r="E1003" s="327"/>
    </row>
    <row r="1004" ht="22.5" customHeight="1">
      <c r="A1004" s="327"/>
      <c r="B1004" s="327"/>
      <c r="C1004" s="327"/>
      <c r="D1004" s="327"/>
      <c r="E1004" s="327"/>
    </row>
    <row r="1005" ht="22.5" customHeight="1">
      <c r="A1005" s="327"/>
      <c r="B1005" s="327"/>
      <c r="C1005" s="327"/>
      <c r="D1005" s="327"/>
      <c r="E1005" s="327"/>
    </row>
    <row r="1006" ht="22.5" customHeight="1">
      <c r="A1006" s="327"/>
      <c r="B1006" s="327"/>
      <c r="C1006" s="327"/>
      <c r="D1006" s="327"/>
      <c r="E1006" s="327"/>
    </row>
    <row r="1007" ht="22.5" customHeight="1">
      <c r="A1007" s="327"/>
      <c r="B1007" s="327"/>
      <c r="C1007" s="327"/>
      <c r="D1007" s="327"/>
      <c r="E1007" s="327"/>
    </row>
    <row r="1008" ht="22.5" customHeight="1">
      <c r="A1008" s="327"/>
      <c r="B1008" s="327"/>
      <c r="C1008" s="327"/>
      <c r="D1008" s="327"/>
      <c r="E1008" s="327"/>
    </row>
    <row r="1009" ht="22.5" customHeight="1">
      <c r="A1009" s="327"/>
      <c r="B1009" s="327"/>
      <c r="C1009" s="327"/>
      <c r="D1009" s="327"/>
      <c r="E1009" s="327"/>
    </row>
    <row r="1010" ht="22.5" customHeight="1">
      <c r="A1010" s="327"/>
      <c r="B1010" s="327"/>
      <c r="C1010" s="327"/>
      <c r="D1010" s="327"/>
      <c r="E1010" s="327"/>
    </row>
    <row r="1011" ht="22.5" customHeight="1">
      <c r="A1011" s="327"/>
      <c r="B1011" s="327"/>
      <c r="C1011" s="327"/>
      <c r="D1011" s="327"/>
      <c r="E1011" s="327"/>
    </row>
    <row r="1012" ht="22.5" customHeight="1">
      <c r="A1012" s="327"/>
      <c r="B1012" s="327"/>
      <c r="C1012" s="327"/>
      <c r="D1012" s="327"/>
      <c r="E1012" s="327"/>
    </row>
    <row r="1013" ht="22.5" customHeight="1">
      <c r="A1013" s="327"/>
      <c r="B1013" s="327"/>
      <c r="C1013" s="327"/>
      <c r="D1013" s="327"/>
      <c r="E1013" s="327"/>
    </row>
    <row r="1014" ht="22.5" customHeight="1">
      <c r="A1014" s="327"/>
      <c r="B1014" s="327"/>
      <c r="C1014" s="327"/>
      <c r="D1014" s="327"/>
      <c r="E1014" s="327"/>
    </row>
    <row r="1015" ht="22.5" customHeight="1">
      <c r="A1015" s="327"/>
      <c r="B1015" s="327"/>
      <c r="C1015" s="327"/>
      <c r="D1015" s="327"/>
      <c r="E1015" s="327"/>
    </row>
    <row r="1016" ht="22.5" customHeight="1">
      <c r="A1016" s="327"/>
      <c r="B1016" s="327"/>
      <c r="C1016" s="327"/>
      <c r="D1016" s="327"/>
      <c r="E1016" s="327"/>
    </row>
    <row r="1017" ht="22.5" customHeight="1">
      <c r="A1017" s="327"/>
      <c r="B1017" s="327"/>
      <c r="C1017" s="327"/>
      <c r="D1017" s="327"/>
      <c r="E1017" s="327"/>
    </row>
    <row r="1018" ht="22.5" customHeight="1">
      <c r="A1018" s="327"/>
      <c r="B1018" s="327"/>
      <c r="C1018" s="327"/>
      <c r="D1018" s="327"/>
      <c r="E1018" s="327"/>
    </row>
    <row r="1019" ht="22.5" customHeight="1">
      <c r="A1019" s="327"/>
      <c r="B1019" s="327"/>
      <c r="C1019" s="327"/>
      <c r="D1019" s="327"/>
      <c r="E1019" s="327"/>
    </row>
    <row r="1020" ht="22.5" customHeight="1">
      <c r="A1020" s="327"/>
      <c r="B1020" s="327"/>
      <c r="C1020" s="327"/>
      <c r="D1020" s="327"/>
      <c r="E1020" s="327"/>
    </row>
    <row r="1021" ht="22.5" customHeight="1">
      <c r="A1021" s="327"/>
      <c r="B1021" s="327"/>
      <c r="C1021" s="327"/>
      <c r="D1021" s="327"/>
      <c r="E1021" s="327"/>
    </row>
    <row r="1022" ht="22.5" customHeight="1">
      <c r="A1022" s="327"/>
      <c r="B1022" s="327"/>
      <c r="C1022" s="327"/>
      <c r="D1022" s="327"/>
      <c r="E1022" s="327"/>
    </row>
    <row r="1023" ht="22.5" customHeight="1">
      <c r="A1023" s="327"/>
      <c r="B1023" s="327"/>
      <c r="C1023" s="327"/>
      <c r="D1023" s="327"/>
      <c r="E1023" s="327"/>
    </row>
    <row r="1024" ht="22.5" customHeight="1">
      <c r="A1024" s="327"/>
      <c r="B1024" s="327"/>
      <c r="C1024" s="327"/>
      <c r="D1024" s="327"/>
      <c r="E1024" s="327"/>
    </row>
    <row r="1025" ht="22.5" customHeight="1">
      <c r="A1025" s="327"/>
      <c r="B1025" s="327"/>
      <c r="C1025" s="327"/>
      <c r="D1025" s="327"/>
      <c r="E1025" s="327"/>
    </row>
    <row r="1026" ht="22.5" customHeight="1">
      <c r="A1026" s="327"/>
      <c r="B1026" s="327"/>
      <c r="C1026" s="327"/>
      <c r="D1026" s="327"/>
      <c r="E1026" s="327"/>
    </row>
    <row r="1027" ht="22.5" customHeight="1">
      <c r="A1027" s="327"/>
      <c r="B1027" s="327"/>
      <c r="C1027" s="327"/>
      <c r="D1027" s="327"/>
      <c r="E1027" s="327"/>
    </row>
    <row r="1028" ht="22.5" customHeight="1">
      <c r="A1028" s="327"/>
      <c r="B1028" s="327"/>
      <c r="C1028" s="327"/>
      <c r="D1028" s="327"/>
      <c r="E1028" s="327"/>
    </row>
    <row r="1029" ht="22.5" customHeight="1">
      <c r="A1029" s="327"/>
      <c r="B1029" s="327"/>
      <c r="C1029" s="327"/>
      <c r="D1029" s="327"/>
      <c r="E1029" s="327"/>
    </row>
    <row r="1030" ht="22.5" customHeight="1">
      <c r="A1030" s="327"/>
      <c r="B1030" s="327"/>
      <c r="C1030" s="327"/>
      <c r="D1030" s="327"/>
      <c r="E1030" s="327"/>
    </row>
    <row r="1031" ht="22.5" customHeight="1">
      <c r="A1031" s="327"/>
      <c r="B1031" s="327"/>
      <c r="C1031" s="327"/>
      <c r="D1031" s="327"/>
      <c r="E1031" s="327"/>
    </row>
    <row r="1032" ht="22.5" customHeight="1">
      <c r="A1032" s="327"/>
      <c r="B1032" s="327"/>
      <c r="C1032" s="327"/>
      <c r="D1032" s="327"/>
      <c r="E1032" s="327"/>
    </row>
    <row r="1033" ht="22.5" customHeight="1">
      <c r="A1033" s="327"/>
      <c r="B1033" s="327"/>
      <c r="C1033" s="327"/>
      <c r="D1033" s="327"/>
      <c r="E1033" s="327"/>
    </row>
    <row r="1034" ht="22.5" customHeight="1">
      <c r="A1034" s="327"/>
      <c r="B1034" s="327"/>
      <c r="C1034" s="327"/>
      <c r="D1034" s="327"/>
      <c r="E1034" s="327"/>
    </row>
    <row r="1035" ht="22.5" customHeight="1">
      <c r="A1035" s="327"/>
      <c r="B1035" s="327"/>
      <c r="C1035" s="327"/>
      <c r="D1035" s="327"/>
      <c r="E1035" s="327"/>
    </row>
    <row r="1036" ht="22.5" customHeight="1">
      <c r="A1036" s="327"/>
      <c r="B1036" s="327"/>
      <c r="C1036" s="327"/>
      <c r="D1036" s="327"/>
      <c r="E1036" s="327"/>
    </row>
    <row r="1037" ht="22.5" customHeight="1">
      <c r="A1037" s="327"/>
      <c r="B1037" s="327"/>
      <c r="C1037" s="327"/>
      <c r="D1037" s="327"/>
      <c r="E1037" s="327"/>
    </row>
    <row r="1038" ht="22.5" customHeight="1">
      <c r="A1038" s="327"/>
      <c r="B1038" s="327"/>
      <c r="C1038" s="327"/>
      <c r="D1038" s="327"/>
      <c r="E1038" s="327"/>
    </row>
    <row r="1039" ht="22.5" customHeight="1">
      <c r="A1039" s="327"/>
      <c r="B1039" s="327"/>
      <c r="C1039" s="327"/>
      <c r="D1039" s="327"/>
      <c r="E1039" s="327"/>
    </row>
    <row r="1040" ht="22.5" customHeight="1">
      <c r="A1040" s="327"/>
      <c r="B1040" s="327"/>
      <c r="C1040" s="327"/>
      <c r="D1040" s="327"/>
      <c r="E1040" s="327"/>
    </row>
    <row r="1041" ht="22.5" customHeight="1">
      <c r="A1041" s="327"/>
      <c r="B1041" s="327"/>
      <c r="C1041" s="327"/>
      <c r="D1041" s="327"/>
      <c r="E1041" s="327"/>
    </row>
    <row r="1042" ht="22.5" customHeight="1">
      <c r="A1042" s="327"/>
      <c r="B1042" s="327"/>
      <c r="C1042" s="327"/>
      <c r="D1042" s="327"/>
      <c r="E1042" s="327"/>
    </row>
    <row r="1043" ht="22.5" customHeight="1">
      <c r="A1043" s="327"/>
      <c r="B1043" s="327"/>
      <c r="C1043" s="327"/>
      <c r="D1043" s="327"/>
      <c r="E1043" s="327"/>
    </row>
    <row r="1044" ht="22.5" customHeight="1">
      <c r="A1044" s="327"/>
      <c r="B1044" s="327"/>
      <c r="C1044" s="327"/>
      <c r="D1044" s="327"/>
      <c r="E1044" s="327"/>
    </row>
    <row r="1045" ht="22.5" customHeight="1">
      <c r="A1045" s="327"/>
      <c r="B1045" s="327"/>
      <c r="C1045" s="327"/>
      <c r="D1045" s="327"/>
      <c r="E1045" s="327"/>
    </row>
    <row r="1046" ht="22.5" customHeight="1">
      <c r="A1046" s="327"/>
      <c r="B1046" s="327"/>
      <c r="C1046" s="327"/>
      <c r="D1046" s="327"/>
      <c r="E1046" s="327"/>
    </row>
    <row r="1047" ht="22.5" customHeight="1">
      <c r="A1047" s="327"/>
      <c r="B1047" s="327"/>
      <c r="C1047" s="327"/>
      <c r="D1047" s="327"/>
      <c r="E1047" s="327"/>
    </row>
    <row r="1048" ht="22.5" customHeight="1">
      <c r="A1048" s="327"/>
      <c r="B1048" s="327"/>
      <c r="C1048" s="327"/>
      <c r="D1048" s="327"/>
      <c r="E1048" s="327"/>
    </row>
    <row r="1049" ht="22.5" customHeight="1">
      <c r="A1049" s="327"/>
      <c r="B1049" s="327"/>
      <c r="C1049" s="327"/>
      <c r="D1049" s="327"/>
      <c r="E1049" s="327"/>
    </row>
    <row r="1050" ht="22.5" customHeight="1">
      <c r="A1050" s="327"/>
      <c r="B1050" s="327"/>
      <c r="C1050" s="327"/>
      <c r="D1050" s="327"/>
      <c r="E1050" s="327"/>
    </row>
    <row r="1051" ht="22.5" customHeight="1">
      <c r="A1051" s="327"/>
      <c r="B1051" s="327"/>
      <c r="C1051" s="327"/>
      <c r="D1051" s="327"/>
      <c r="E1051" s="327"/>
    </row>
    <row r="1052" ht="22.5" customHeight="1">
      <c r="A1052" s="327"/>
      <c r="B1052" s="327"/>
      <c r="C1052" s="327"/>
      <c r="D1052" s="327"/>
      <c r="E1052" s="327"/>
    </row>
    <row r="1053" ht="22.5" customHeight="1">
      <c r="A1053" s="327"/>
      <c r="B1053" s="327"/>
      <c r="C1053" s="327"/>
      <c r="D1053" s="327"/>
      <c r="E1053" s="327"/>
    </row>
    <row r="1054" ht="22.5" customHeight="1">
      <c r="A1054" s="327"/>
      <c r="B1054" s="327"/>
      <c r="C1054" s="327"/>
      <c r="D1054" s="327"/>
      <c r="E1054" s="327"/>
    </row>
    <row r="1055" ht="22.5" customHeight="1">
      <c r="A1055" s="327"/>
      <c r="B1055" s="327"/>
      <c r="C1055" s="327"/>
      <c r="D1055" s="327"/>
      <c r="E1055" s="327"/>
    </row>
    <row r="1056" ht="22.5" customHeight="1">
      <c r="A1056" s="327"/>
      <c r="B1056" s="327"/>
      <c r="C1056" s="327"/>
      <c r="D1056" s="327"/>
      <c r="E1056" s="327"/>
    </row>
    <row r="1057" ht="22.5" customHeight="1">
      <c r="A1057" s="327"/>
      <c r="B1057" s="327"/>
      <c r="C1057" s="327"/>
      <c r="D1057" s="327"/>
      <c r="E1057" s="327"/>
    </row>
    <row r="1058" ht="22.5" customHeight="1">
      <c r="A1058" s="327"/>
      <c r="B1058" s="327"/>
      <c r="C1058" s="327"/>
      <c r="D1058" s="327"/>
      <c r="E1058" s="327"/>
    </row>
    <row r="1059" ht="22.5" customHeight="1">
      <c r="A1059" s="327"/>
      <c r="B1059" s="327"/>
      <c r="C1059" s="327"/>
      <c r="D1059" s="327"/>
      <c r="E1059" s="327"/>
    </row>
    <row r="1060" ht="22.5" customHeight="1">
      <c r="A1060" s="327"/>
      <c r="B1060" s="327"/>
      <c r="C1060" s="327"/>
      <c r="D1060" s="327"/>
      <c r="E1060" s="327"/>
    </row>
    <row r="1061" ht="22.5" customHeight="1">
      <c r="A1061" s="327"/>
      <c r="B1061" s="327"/>
      <c r="C1061" s="327"/>
      <c r="D1061" s="327"/>
      <c r="E1061" s="327"/>
    </row>
    <row r="1062" ht="22.5" customHeight="1">
      <c r="A1062" s="327"/>
      <c r="B1062" s="327"/>
      <c r="C1062" s="327"/>
      <c r="D1062" s="327"/>
      <c r="E1062" s="327"/>
    </row>
    <row r="1063" ht="22.5" customHeight="1">
      <c r="A1063" s="327"/>
      <c r="B1063" s="327"/>
      <c r="C1063" s="327"/>
      <c r="D1063" s="327"/>
      <c r="E1063" s="327"/>
    </row>
    <row r="1064" ht="22.5" customHeight="1">
      <c r="A1064" s="327"/>
      <c r="B1064" s="327"/>
      <c r="C1064" s="327"/>
      <c r="D1064" s="327"/>
      <c r="E1064" s="327"/>
    </row>
    <row r="1065" ht="22.5" customHeight="1">
      <c r="A1065" s="327"/>
      <c r="B1065" s="327"/>
      <c r="C1065" s="327"/>
      <c r="D1065" s="327"/>
      <c r="E1065" s="327"/>
    </row>
    <row r="1066" ht="22.5" customHeight="1">
      <c r="A1066" s="327"/>
      <c r="B1066" s="327"/>
      <c r="C1066" s="327"/>
      <c r="D1066" s="327"/>
      <c r="E1066" s="327"/>
    </row>
    <row r="1067" ht="22.5" customHeight="1">
      <c r="A1067" s="327"/>
      <c r="B1067" s="327"/>
      <c r="C1067" s="327"/>
      <c r="D1067" s="327"/>
      <c r="E1067" s="327"/>
    </row>
    <row r="1068" ht="22.5" customHeight="1">
      <c r="A1068" s="327"/>
      <c r="B1068" s="327"/>
      <c r="C1068" s="327"/>
      <c r="D1068" s="327"/>
      <c r="E1068" s="327"/>
    </row>
    <row r="1069" ht="22.5" customHeight="1">
      <c r="A1069" s="327"/>
      <c r="B1069" s="327"/>
      <c r="C1069" s="327"/>
      <c r="D1069" s="327"/>
      <c r="E1069" s="327"/>
    </row>
    <row r="1070" ht="22.5" customHeight="1">
      <c r="A1070" s="327"/>
      <c r="B1070" s="327"/>
      <c r="C1070" s="327"/>
      <c r="D1070" s="327"/>
      <c r="E1070" s="327"/>
    </row>
    <row r="1071" ht="22.5" customHeight="1">
      <c r="A1071" s="327"/>
      <c r="B1071" s="327"/>
      <c r="C1071" s="327"/>
      <c r="D1071" s="327"/>
      <c r="E1071" s="327"/>
    </row>
    <row r="1072" ht="22.5" customHeight="1">
      <c r="A1072" s="327"/>
      <c r="B1072" s="327"/>
      <c r="C1072" s="327"/>
      <c r="D1072" s="327"/>
      <c r="E1072" s="327"/>
    </row>
    <row r="1073" ht="22.5" customHeight="1">
      <c r="A1073" s="327"/>
      <c r="B1073" s="327"/>
      <c r="C1073" s="327"/>
      <c r="D1073" s="327"/>
      <c r="E1073" s="327"/>
    </row>
    <row r="1074" ht="22.5" customHeight="1">
      <c r="A1074" s="327"/>
      <c r="B1074" s="327"/>
      <c r="C1074" s="327"/>
      <c r="D1074" s="327"/>
      <c r="E1074" s="327"/>
    </row>
    <row r="1075" ht="22.5" customHeight="1">
      <c r="A1075" s="327"/>
      <c r="B1075" s="327"/>
      <c r="C1075" s="327"/>
      <c r="D1075" s="327"/>
      <c r="E1075" s="327"/>
    </row>
    <row r="1076" ht="22.5" customHeight="1">
      <c r="A1076" s="327"/>
      <c r="B1076" s="327"/>
      <c r="C1076" s="327"/>
      <c r="D1076" s="327"/>
      <c r="E1076" s="327"/>
    </row>
    <row r="1077" ht="22.5" customHeight="1">
      <c r="A1077" s="327"/>
      <c r="B1077" s="327"/>
      <c r="C1077" s="327"/>
      <c r="D1077" s="327"/>
      <c r="E1077" s="327"/>
    </row>
    <row r="1078" ht="22.5" customHeight="1">
      <c r="A1078" s="327"/>
      <c r="B1078" s="327"/>
      <c r="C1078" s="327"/>
      <c r="D1078" s="327"/>
      <c r="E1078" s="327"/>
    </row>
    <row r="1079" ht="22.5" customHeight="1">
      <c r="A1079" s="327"/>
      <c r="B1079" s="327"/>
      <c r="C1079" s="327"/>
      <c r="D1079" s="327"/>
      <c r="E1079" s="327"/>
    </row>
    <row r="1080" ht="22.5" customHeight="1">
      <c r="A1080" s="327"/>
      <c r="B1080" s="327"/>
      <c r="C1080" s="327"/>
      <c r="D1080" s="327"/>
      <c r="E1080" s="327"/>
    </row>
    <row r="1081" ht="22.5" customHeight="1">
      <c r="A1081" s="327"/>
      <c r="B1081" s="327"/>
      <c r="C1081" s="327"/>
      <c r="D1081" s="327"/>
      <c r="E1081" s="327"/>
    </row>
    <row r="1082" ht="22.5" customHeight="1">
      <c r="A1082" s="327"/>
      <c r="B1082" s="327"/>
      <c r="C1082" s="327"/>
      <c r="D1082" s="327"/>
      <c r="E1082" s="327"/>
    </row>
    <row r="1083" ht="22.5" customHeight="1">
      <c r="A1083" s="327"/>
      <c r="B1083" s="327"/>
      <c r="C1083" s="327"/>
      <c r="D1083" s="327"/>
      <c r="E1083" s="327"/>
    </row>
    <row r="1084" ht="22.5" customHeight="1">
      <c r="A1084" s="327"/>
      <c r="B1084" s="327"/>
      <c r="C1084" s="327"/>
      <c r="D1084" s="327"/>
      <c r="E1084" s="327"/>
    </row>
    <row r="1085" ht="22.5" customHeight="1">
      <c r="A1085" s="327"/>
      <c r="B1085" s="327"/>
      <c r="C1085" s="327"/>
      <c r="D1085" s="327"/>
      <c r="E1085" s="327"/>
    </row>
    <row r="1086" ht="22.5" customHeight="1">
      <c r="A1086" s="327"/>
      <c r="B1086" s="327"/>
      <c r="C1086" s="327"/>
      <c r="D1086" s="327"/>
      <c r="E1086" s="327"/>
    </row>
    <row r="1087" ht="22.5" customHeight="1">
      <c r="A1087" s="327"/>
      <c r="B1087" s="327"/>
      <c r="C1087" s="327"/>
      <c r="D1087" s="327"/>
      <c r="E1087" s="327"/>
    </row>
    <row r="1088" ht="22.5" customHeight="1">
      <c r="A1088" s="327"/>
      <c r="B1088" s="327"/>
      <c r="C1088" s="327"/>
      <c r="D1088" s="327"/>
      <c r="E1088" s="327"/>
    </row>
    <row r="1089" ht="22.5" customHeight="1">
      <c r="A1089" s="327"/>
      <c r="B1089" s="327"/>
      <c r="C1089" s="327"/>
      <c r="D1089" s="327"/>
      <c r="E1089" s="327"/>
    </row>
    <row r="1090" ht="22.5" customHeight="1">
      <c r="A1090" s="327"/>
      <c r="B1090" s="327"/>
      <c r="C1090" s="327"/>
      <c r="D1090" s="327"/>
      <c r="E1090" s="327"/>
    </row>
    <row r="1091" ht="22.5" customHeight="1">
      <c r="A1091" s="327"/>
      <c r="B1091" s="327"/>
      <c r="C1091" s="327"/>
      <c r="D1091" s="327"/>
      <c r="E1091" s="327"/>
    </row>
    <row r="1092" ht="22.5" customHeight="1">
      <c r="A1092" s="327"/>
      <c r="B1092" s="327"/>
      <c r="C1092" s="327"/>
      <c r="D1092" s="327"/>
      <c r="E1092" s="327"/>
    </row>
    <row r="1093" ht="22.5" customHeight="1">
      <c r="A1093" s="327"/>
      <c r="B1093" s="327"/>
      <c r="C1093" s="327"/>
      <c r="D1093" s="327"/>
      <c r="E1093" s="327"/>
    </row>
    <row r="1094" ht="22.5" customHeight="1">
      <c r="A1094" s="327"/>
      <c r="B1094" s="327"/>
      <c r="C1094" s="327"/>
      <c r="D1094" s="327"/>
      <c r="E1094" s="327"/>
    </row>
    <row r="1095" ht="22.5" customHeight="1">
      <c r="A1095" s="327"/>
      <c r="B1095" s="327"/>
      <c r="C1095" s="327"/>
      <c r="D1095" s="327"/>
      <c r="E1095" s="327"/>
    </row>
    <row r="1096" ht="22.5" customHeight="1">
      <c r="A1096" s="327"/>
      <c r="B1096" s="327"/>
      <c r="C1096" s="327"/>
      <c r="D1096" s="327"/>
      <c r="E1096" s="327"/>
    </row>
    <row r="1097" ht="22.5" customHeight="1">
      <c r="A1097" s="327"/>
      <c r="B1097" s="327"/>
      <c r="C1097" s="327"/>
      <c r="D1097" s="327"/>
      <c r="E1097" s="327"/>
    </row>
    <row r="1098" ht="22.5" customHeight="1">
      <c r="A1098" s="327"/>
      <c r="B1098" s="327"/>
      <c r="C1098" s="327"/>
      <c r="D1098" s="327"/>
      <c r="E1098" s="327"/>
    </row>
    <row r="1099" ht="22.5" customHeight="1">
      <c r="A1099" s="327"/>
      <c r="B1099" s="327"/>
      <c r="C1099" s="327"/>
      <c r="D1099" s="327"/>
      <c r="E1099" s="327"/>
    </row>
    <row r="1100" ht="22.5" customHeight="1">
      <c r="A1100" s="327"/>
      <c r="B1100" s="327"/>
      <c r="C1100" s="327"/>
      <c r="D1100" s="327"/>
      <c r="E1100" s="327"/>
    </row>
    <row r="1101" ht="22.5" customHeight="1">
      <c r="A1101" s="327"/>
      <c r="B1101" s="327"/>
      <c r="C1101" s="327"/>
      <c r="D1101" s="327"/>
      <c r="E1101" s="327"/>
    </row>
    <row r="1102" ht="22.5" customHeight="1">
      <c r="A1102" s="327"/>
      <c r="B1102" s="327"/>
      <c r="C1102" s="327"/>
      <c r="D1102" s="327"/>
      <c r="E1102" s="327"/>
    </row>
    <row r="1103" ht="22.5" customHeight="1">
      <c r="A1103" s="327"/>
      <c r="B1103" s="327"/>
      <c r="C1103" s="327"/>
      <c r="D1103" s="327"/>
      <c r="E1103" s="327"/>
    </row>
    <row r="1104" ht="22.5" customHeight="1">
      <c r="A1104" s="327"/>
      <c r="B1104" s="327"/>
      <c r="C1104" s="327"/>
      <c r="D1104" s="327"/>
      <c r="E1104" s="327"/>
    </row>
    <row r="1105" ht="22.5" customHeight="1">
      <c r="A1105" s="327"/>
      <c r="B1105" s="327"/>
      <c r="C1105" s="327"/>
      <c r="D1105" s="327"/>
      <c r="E1105" s="327"/>
    </row>
    <row r="1106" ht="22.5" customHeight="1">
      <c r="A1106" s="327"/>
      <c r="B1106" s="327"/>
      <c r="C1106" s="327"/>
      <c r="D1106" s="327"/>
      <c r="E1106" s="327"/>
    </row>
    <row r="1107" ht="22.5" customHeight="1">
      <c r="A1107" s="327"/>
      <c r="B1107" s="327"/>
      <c r="C1107" s="327"/>
      <c r="D1107" s="327"/>
      <c r="E1107" s="327"/>
    </row>
    <row r="1108" ht="22.5" customHeight="1">
      <c r="A1108" s="327"/>
      <c r="B1108" s="327"/>
      <c r="C1108" s="327"/>
      <c r="D1108" s="327"/>
      <c r="E1108" s="327"/>
    </row>
    <row r="1109" ht="22.5" customHeight="1">
      <c r="A1109" s="327"/>
      <c r="B1109" s="327"/>
      <c r="C1109" s="327"/>
      <c r="D1109" s="327"/>
      <c r="E1109" s="327"/>
    </row>
    <row r="1110" ht="22.5" customHeight="1">
      <c r="A1110" s="327"/>
      <c r="B1110" s="327"/>
      <c r="C1110" s="327"/>
      <c r="D1110" s="327"/>
      <c r="E1110" s="327"/>
    </row>
    <row r="1111" ht="22.5" customHeight="1">
      <c r="A1111" s="327"/>
      <c r="B1111" s="327"/>
      <c r="C1111" s="327"/>
      <c r="D1111" s="327"/>
      <c r="E1111" s="327"/>
    </row>
    <row r="1112" ht="22.5" customHeight="1">
      <c r="A1112" s="327"/>
      <c r="B1112" s="327"/>
      <c r="C1112" s="327"/>
      <c r="D1112" s="327"/>
      <c r="E1112" s="327"/>
    </row>
    <row r="1113" ht="22.5" customHeight="1">
      <c r="A1113" s="327"/>
      <c r="B1113" s="327"/>
      <c r="C1113" s="327"/>
      <c r="D1113" s="327"/>
      <c r="E1113" s="327"/>
    </row>
    <row r="1114" ht="22.5" customHeight="1">
      <c r="A1114" s="327"/>
      <c r="B1114" s="327"/>
      <c r="C1114" s="327"/>
      <c r="D1114" s="327"/>
      <c r="E1114" s="327"/>
    </row>
    <row r="1115" ht="22.5" customHeight="1">
      <c r="A1115" s="327"/>
      <c r="B1115" s="327"/>
      <c r="C1115" s="327"/>
      <c r="D1115" s="327"/>
      <c r="E1115" s="327"/>
    </row>
    <row r="1116" ht="22.5" customHeight="1">
      <c r="A1116" s="327"/>
      <c r="B1116" s="327"/>
      <c r="C1116" s="327"/>
      <c r="D1116" s="327"/>
      <c r="E1116" s="327"/>
    </row>
    <row r="1117" ht="22.5" customHeight="1">
      <c r="A1117" s="327"/>
      <c r="B1117" s="327"/>
      <c r="C1117" s="327"/>
      <c r="D1117" s="327"/>
      <c r="E1117" s="327"/>
    </row>
    <row r="1118" ht="22.5" customHeight="1">
      <c r="A1118" s="327"/>
      <c r="B1118" s="327"/>
      <c r="C1118" s="327"/>
      <c r="D1118" s="327"/>
      <c r="E1118" s="327"/>
    </row>
    <row r="1119" ht="22.5" customHeight="1">
      <c r="A1119" s="327"/>
      <c r="B1119" s="327"/>
      <c r="C1119" s="327"/>
      <c r="D1119" s="327"/>
      <c r="E1119" s="327"/>
    </row>
    <row r="1120" ht="22.5" customHeight="1">
      <c r="A1120" s="327"/>
      <c r="B1120" s="327"/>
      <c r="C1120" s="327"/>
      <c r="D1120" s="327"/>
      <c r="E1120" s="327"/>
    </row>
    <row r="1121" ht="22.5" customHeight="1">
      <c r="A1121" s="327"/>
      <c r="B1121" s="327"/>
      <c r="C1121" s="327"/>
      <c r="D1121" s="327"/>
      <c r="E1121" s="327"/>
    </row>
    <row r="1122" ht="22.5" customHeight="1">
      <c r="A1122" s="327"/>
      <c r="B1122" s="327"/>
      <c r="C1122" s="327"/>
      <c r="D1122" s="327"/>
      <c r="E1122" s="327"/>
    </row>
    <row r="1123" ht="22.5" customHeight="1">
      <c r="A1123" s="327"/>
      <c r="B1123" s="327"/>
      <c r="C1123" s="327"/>
      <c r="D1123" s="327"/>
      <c r="E1123" s="327"/>
    </row>
    <row r="1124" ht="22.5" customHeight="1">
      <c r="A1124" s="327"/>
      <c r="B1124" s="327"/>
      <c r="C1124" s="327"/>
      <c r="D1124" s="327"/>
      <c r="E1124" s="327"/>
    </row>
    <row r="1125" ht="22.5" customHeight="1">
      <c r="A1125" s="327"/>
      <c r="B1125" s="327"/>
      <c r="C1125" s="327"/>
      <c r="D1125" s="327"/>
      <c r="E1125" s="327"/>
    </row>
    <row r="1126" ht="22.5" customHeight="1">
      <c r="A1126" s="327"/>
      <c r="B1126" s="327"/>
      <c r="C1126" s="327"/>
      <c r="D1126" s="327"/>
      <c r="E1126" s="327"/>
    </row>
    <row r="1127" ht="22.5" customHeight="1">
      <c r="A1127" s="327"/>
      <c r="B1127" s="327"/>
      <c r="C1127" s="327"/>
      <c r="D1127" s="327"/>
      <c r="E1127" s="327"/>
    </row>
    <row r="1128" ht="22.5" customHeight="1">
      <c r="A1128" s="327"/>
      <c r="B1128" s="327"/>
      <c r="C1128" s="327"/>
      <c r="D1128" s="327"/>
      <c r="E1128" s="327"/>
    </row>
    <row r="1129" ht="22.5" customHeight="1">
      <c r="A1129" s="327"/>
      <c r="B1129" s="327"/>
      <c r="C1129" s="327"/>
      <c r="D1129" s="327"/>
      <c r="E1129" s="327"/>
    </row>
    <row r="1130" ht="22.5" customHeight="1">
      <c r="A1130" s="327"/>
      <c r="B1130" s="327"/>
      <c r="C1130" s="327"/>
      <c r="D1130" s="327"/>
      <c r="E1130" s="327"/>
    </row>
    <row r="1131" ht="22.5" customHeight="1">
      <c r="A1131" s="327"/>
      <c r="B1131" s="327"/>
      <c r="C1131" s="327"/>
      <c r="D1131" s="327"/>
      <c r="E1131" s="327"/>
    </row>
    <row r="1132" ht="22.5" customHeight="1">
      <c r="A1132" s="327"/>
      <c r="B1132" s="327"/>
      <c r="C1132" s="327"/>
      <c r="D1132" s="327"/>
      <c r="E1132" s="327"/>
    </row>
    <row r="1133" ht="22.5" customHeight="1">
      <c r="A1133" s="327"/>
      <c r="B1133" s="327"/>
      <c r="C1133" s="327"/>
      <c r="D1133" s="327"/>
      <c r="E1133" s="327"/>
    </row>
    <row r="1134" ht="22.5" customHeight="1">
      <c r="A1134" s="327"/>
      <c r="B1134" s="327"/>
      <c r="C1134" s="327"/>
      <c r="D1134" s="327"/>
      <c r="E1134" s="327"/>
    </row>
    <row r="1135" ht="22.5" customHeight="1">
      <c r="A1135" s="327"/>
      <c r="B1135" s="327"/>
      <c r="C1135" s="327"/>
      <c r="D1135" s="327"/>
      <c r="E1135" s="327"/>
    </row>
    <row r="1136" ht="22.5" customHeight="1">
      <c r="A1136" s="327"/>
      <c r="B1136" s="327"/>
      <c r="C1136" s="327"/>
      <c r="D1136" s="327"/>
      <c r="E1136" s="327"/>
    </row>
    <row r="1137" ht="22.5" customHeight="1">
      <c r="A1137" s="327"/>
      <c r="B1137" s="327"/>
      <c r="C1137" s="327"/>
      <c r="D1137" s="327"/>
      <c r="E1137" s="327"/>
    </row>
    <row r="1138" ht="22.5" customHeight="1">
      <c r="A1138" s="327"/>
      <c r="B1138" s="327"/>
      <c r="C1138" s="327"/>
      <c r="D1138" s="327"/>
      <c r="E1138" s="327"/>
    </row>
    <row r="1139" ht="22.5" customHeight="1">
      <c r="A1139" s="327"/>
      <c r="B1139" s="327"/>
      <c r="C1139" s="327"/>
      <c r="D1139" s="327"/>
      <c r="E1139" s="327"/>
    </row>
    <row r="1140" ht="22.5" customHeight="1">
      <c r="A1140" s="327"/>
      <c r="B1140" s="327"/>
      <c r="C1140" s="327"/>
      <c r="D1140" s="327"/>
      <c r="E1140" s="327"/>
    </row>
    <row r="1141" ht="22.5" customHeight="1">
      <c r="A1141" s="327"/>
      <c r="B1141" s="327"/>
      <c r="C1141" s="327"/>
      <c r="D1141" s="327"/>
      <c r="E1141" s="327"/>
    </row>
    <row r="1142" ht="22.5" customHeight="1">
      <c r="A1142" s="327"/>
      <c r="B1142" s="327"/>
      <c r="C1142" s="327"/>
      <c r="D1142" s="327"/>
      <c r="E1142" s="327"/>
    </row>
    <row r="1143" ht="22.5" customHeight="1">
      <c r="A1143" s="327"/>
      <c r="B1143" s="327"/>
      <c r="C1143" s="327"/>
      <c r="D1143" s="327"/>
      <c r="E1143" s="327"/>
    </row>
    <row r="1144" ht="22.5" customHeight="1">
      <c r="A1144" s="327"/>
      <c r="B1144" s="327"/>
      <c r="C1144" s="327"/>
      <c r="D1144" s="327"/>
      <c r="E1144" s="327"/>
    </row>
    <row r="1145" ht="22.5" customHeight="1">
      <c r="A1145" s="327"/>
      <c r="B1145" s="327"/>
      <c r="C1145" s="327"/>
      <c r="D1145" s="327"/>
      <c r="E1145" s="327"/>
    </row>
    <row r="1146" ht="22.5" customHeight="1">
      <c r="A1146" s="327"/>
      <c r="B1146" s="327"/>
      <c r="C1146" s="327"/>
      <c r="D1146" s="327"/>
      <c r="E1146" s="327"/>
    </row>
    <row r="1147" ht="22.5" customHeight="1">
      <c r="A1147" s="327"/>
      <c r="B1147" s="327"/>
      <c r="C1147" s="327"/>
      <c r="D1147" s="327"/>
      <c r="E1147" s="327"/>
    </row>
  </sheetData>
  <dataValidations>
    <dataValidation type="list" allowBlank="1" sqref="C2:C166">
      <formula1>"MODULO ORIGINAL,MODULO ALTERATIVO,BATERIA ORIGINAL,BATERIA ALTERNATIVA,PIN DE CARGA,MODULO SAMSUNG ORI,PLACA DE CARGA,TAPA"</formula1>
    </dataValidation>
    <dataValidation type="list" allowBlank="1" sqref="A2:A166">
      <formula1>"SAMSUNG,IPHONE,MOTOROLA,XIAOMI,HUAWEI,TCL"</formula1>
    </dataValidation>
  </dataValidations>
  <drawing r:id="rId1"/>
  <tableParts count="1">
    <tablePart r:id="rId3"/>
  </tableParts>
</worksheet>
</file>